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PW_Projects\inventory policy assessment_(#P1)\Combined_summary_sheets\"/>
    </mc:Choice>
  </mc:AlternateContent>
  <xr:revisionPtr revIDLastSave="0" documentId="13_ncr:1_{C1DBCA9B-80E3-4D97-849E-95D282B2D782}" xr6:coauthVersionLast="47" xr6:coauthVersionMax="47" xr10:uidLastSave="{00000000-0000-0000-0000-000000000000}"/>
  <bookViews>
    <workbookView xWindow="-108" yWindow="-108" windowWidth="23256" windowHeight="13176" tabRatio="1000" firstSheet="5" activeTab="8" xr2:uid="{81B9D8F7-C879-4E4B-9A9F-E2E166DF5828}"/>
  </bookViews>
  <sheets>
    <sheet name="Impact_theme_by_category" sheetId="8" r:id="rId1"/>
    <sheet name="Impact_prioriy_by_region" sheetId="9" r:id="rId2"/>
    <sheet name="Impact_theme_by_policy_status" sheetId="10" r:id="rId3"/>
    <sheet name="SQL_Business_Impact_Master" sheetId="2" r:id="rId4"/>
    <sheet name="SQL_Category_Impact_Summary" sheetId="3" r:id="rId5"/>
    <sheet name="SQL_Impact_Theme_Summary" sheetId="4" r:id="rId6"/>
    <sheet name="SQL_Overall_Impact_Summary" sheetId="5" r:id="rId7"/>
    <sheet name="SQL_Top_Impact_Items" sheetId="7" r:id="rId8"/>
    <sheet name="SQL_Region_Impact_Summary " sheetId="11" r:id="rId9"/>
  </sheets>
  <definedNames>
    <definedName name="ExternalData_1" localSheetId="3" hidden="1">SQL_Business_Impact_Master!$A$1:$AA$101</definedName>
    <definedName name="ExternalData_1" localSheetId="4" hidden="1">SQL_Category_Impact_Summary!$A$1:$E$11</definedName>
    <definedName name="ExternalData_1" localSheetId="5" hidden="1">SQL_Impact_Theme_Summary!$A$1:$G$3</definedName>
    <definedName name="ExternalData_1" localSheetId="6" hidden="1">SQL_Overall_Impact_Summary!$A$1:$L$2</definedName>
    <definedName name="ExternalData_1" localSheetId="8" hidden="1">'SQL_Region_Impact_Summary '!$A$1:$E$7</definedName>
    <definedName name="ExternalData_1" localSheetId="7" hidden="1">SQL_Top_Impact_Items!$A$1:$O$101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DD1F5-45DE-4CA9-B270-BE8A0FCD3BF4}" keepAlive="1" name="Query - SQL_Business_Impact_Master" description="Connection to the 'SQL_Business_Impact_Master' query in the workbook." type="5" refreshedVersion="8" background="1" saveData="1">
    <dbPr connection="Provider=Microsoft.Mashup.OleDb.1;Data Source=$Workbook$;Location=SQL_Business_Impact_Master;Extended Properties=&quot;&quot;" command="SELECT * FROM [SQL_Business_Impact_Master]"/>
  </connection>
  <connection id="2" xr16:uid="{57F1AEB9-48C2-4FF8-84E2-50994DAF0B19}" keepAlive="1" name="Query - SQL_Category_Impact_Summary" description="Connection to the 'SQL_Category_Impact_Summary' query in the workbook." type="5" refreshedVersion="8" background="1" saveData="1">
    <dbPr connection="Provider=Microsoft.Mashup.OleDb.1;Data Source=$Workbook$;Location=SQL_Category_Impact_Summary;Extended Properties=&quot;&quot;" command="SELECT * FROM [SQL_Category_Impact_Summary]"/>
  </connection>
  <connection id="3" xr16:uid="{2C314D75-5973-4C9F-A796-C6769B97313C}" keepAlive="1" name="Query - SQL_Impact_Theme_Summary" description="Connection to the 'SQL_Impact_Theme_Summary' query in the workbook." type="5" refreshedVersion="8" background="1" saveData="1">
    <dbPr connection="Provider=Microsoft.Mashup.OleDb.1;Data Source=$Workbook$;Location=SQL_Impact_Theme_Summary;Extended Properties=&quot;&quot;" command="SELECT * FROM [SQL_Impact_Theme_Summary]"/>
  </connection>
  <connection id="4" xr16:uid="{08F6B798-E08E-4F5D-BD57-B5C3702864D3}" keepAlive="1" name="Query - SQL_Overall_Impact_Summary" description="Connection to the 'SQL_Overall_Impact_Summary' query in the workbook." type="5" refreshedVersion="8" background="1" saveData="1">
    <dbPr connection="Provider=Microsoft.Mashup.OleDb.1;Data Source=$Workbook$;Location=SQL_Overall_Impact_Summary;Extended Properties=&quot;&quot;" command="SELECT * FROM [SQL_Overall_Impact_Summary]"/>
  </connection>
  <connection id="5" xr16:uid="{F14F01EA-2472-4621-89AE-CFFEAC0F6DCA}" keepAlive="1" name="Query - SQL_Region_Impact_Summary" description="Connection to the 'SQL_Region_Impact_Summary' query in the workbook." type="5" refreshedVersion="8" background="1" saveData="1">
    <dbPr connection="Provider=Microsoft.Mashup.OleDb.1;Data Source=$Workbook$;Location=SQL_Region_Impact_Summary;Extended Properties=&quot;&quot;" command="SELECT * FROM [SQL_Region_Impact_Summary]"/>
  </connection>
  <connection id="6" xr16:uid="{542A5AB4-C4A6-4E01-9D66-CEDC120AFCBB}" keepAlive="1" name="Query - SQL_Top_Impact_Items" description="Connection to the 'SQL_Top_Impact_Items' query in the workbook." type="5" refreshedVersion="8" background="1" saveData="1">
    <dbPr connection="Provider=Microsoft.Mashup.OleDb.1;Data Source=$Workbook$;Location=SQL_Top_Impact_Items;Extended Properties=&quot;&quot;" command="SELECT * FROM [SQL_Top_Impact_Items]"/>
  </connection>
</connections>
</file>

<file path=xl/sharedStrings.xml><?xml version="1.0" encoding="utf-8"?>
<sst xmlns="http://schemas.openxmlformats.org/spreadsheetml/2006/main" count="2352" uniqueCount="97">
  <si>
    <t>store_id</t>
  </si>
  <si>
    <t>product_id</t>
  </si>
  <si>
    <t>category_clean</t>
  </si>
  <si>
    <t>region_clean</t>
  </si>
  <si>
    <t>total_units_sold</t>
  </si>
  <si>
    <t>total_units_ordered</t>
  </si>
  <si>
    <t>avg_inventory_level</t>
  </si>
  <si>
    <t>avg_cover_days</t>
  </si>
  <si>
    <t>low_cover_pct</t>
  </si>
  <si>
    <t>high_cover_pct</t>
  </si>
  <si>
    <t>zero_inventory_pct</t>
  </si>
  <si>
    <t>order_day_pct</t>
  </si>
  <si>
    <t>wape</t>
  </si>
  <si>
    <t>forecast_bias</t>
  </si>
  <si>
    <t>total_at_risk_units_proxy</t>
  </si>
  <si>
    <t>total_excess_units_proxy</t>
  </si>
  <si>
    <t>policy_status</t>
  </si>
  <si>
    <t>root_cause_hint</t>
  </si>
  <si>
    <t>priority_band</t>
  </si>
  <si>
    <t>reorder_behavior_assessment</t>
  </si>
  <si>
    <t>safety_stock_behavior_assessment</t>
  </si>
  <si>
    <t>lead_time_behavior_proxy</t>
  </si>
  <si>
    <t>demand_variability_band</t>
  </si>
  <si>
    <t>impact_theme</t>
  </si>
  <si>
    <t>impact_priority</t>
  </si>
  <si>
    <t>primary_impact_units_proxy</t>
  </si>
  <si>
    <t>primary_impact_vs_sales_ratio</t>
  </si>
  <si>
    <t>S005</t>
  </si>
  <si>
    <t>P0011</t>
  </si>
  <si>
    <t>Electronics</t>
  </si>
  <si>
    <t>East</t>
  </si>
  <si>
    <t>Overstock Risk</t>
  </si>
  <si>
    <t>Replenishment-driven</t>
  </si>
  <si>
    <t>High</t>
  </si>
  <si>
    <t>Trigger Too Early / Excessive</t>
  </si>
  <si>
    <t>Buffer Broadly Adequate</t>
  </si>
  <si>
    <t>Continuous Daily Ordering</t>
  </si>
  <si>
    <t>Medium Variability</t>
  </si>
  <si>
    <t>Excess / Working Capital</t>
  </si>
  <si>
    <t>P0017</t>
  </si>
  <si>
    <t>Clothing</t>
  </si>
  <si>
    <t>S001</t>
  </si>
  <si>
    <t>P0009</t>
  </si>
  <si>
    <t>Furniture</t>
  </si>
  <si>
    <t>S002</t>
  </si>
  <si>
    <t>P0003</t>
  </si>
  <si>
    <t>Groceries</t>
  </si>
  <si>
    <t>P0012</t>
  </si>
  <si>
    <t>P0005</t>
  </si>
  <si>
    <t>P0008</t>
  </si>
  <si>
    <t>P0013</t>
  </si>
  <si>
    <t>S004</t>
  </si>
  <si>
    <t>P0020</t>
  </si>
  <si>
    <t>Toys</t>
  </si>
  <si>
    <t>West</t>
  </si>
  <si>
    <t>S003</t>
  </si>
  <si>
    <t>P0006</t>
  </si>
  <si>
    <t>South</t>
  </si>
  <si>
    <t>P0002</t>
  </si>
  <si>
    <t>P0014</t>
  </si>
  <si>
    <t>P0001</t>
  </si>
  <si>
    <t>P0016</t>
  </si>
  <si>
    <t>P0010</t>
  </si>
  <si>
    <t>Medium</t>
  </si>
  <si>
    <t>P0015</t>
  </si>
  <si>
    <t>Stable</t>
  </si>
  <si>
    <t>Low</t>
  </si>
  <si>
    <t>Trigger Broadly Reasonable</t>
  </si>
  <si>
    <t>Operational Burden</t>
  </si>
  <si>
    <t>P0019</t>
  </si>
  <si>
    <t>P0004</t>
  </si>
  <si>
    <t>P0018</t>
  </si>
  <si>
    <t>P0007</t>
  </si>
  <si>
    <t>sku_store_count</t>
  </si>
  <si>
    <t>total_primary_impact_units_proxy</t>
  </si>
  <si>
    <t>avg_wape</t>
  </si>
  <si>
    <t>avg_order_day_pct</t>
  </si>
  <si>
    <t>total_sku_store_count</t>
  </si>
  <si>
    <t>excess_item_count</t>
  </si>
  <si>
    <t>units_sold_in_excess_items</t>
  </si>
  <si>
    <t>excess_units_proxy_total</t>
  </si>
  <si>
    <t>service_risk_item_count</t>
  </si>
  <si>
    <t>units_sold_in_service_risk_items</t>
  </si>
  <si>
    <t>at_risk_units_proxy_total</t>
  </si>
  <si>
    <t>operational_burden_item_count</t>
  </si>
  <si>
    <t>high_priority_item_count</t>
  </si>
  <si>
    <t>high_priority_impact_units_proxy</t>
  </si>
  <si>
    <t>sales_share_in_excess_items_pct</t>
  </si>
  <si>
    <t>Row Labels</t>
  </si>
  <si>
    <t>Grand Total</t>
  </si>
  <si>
    <t>Column Labels</t>
  </si>
  <si>
    <t>Count of product_id</t>
  </si>
  <si>
    <t>Total Count of product_id</t>
  </si>
  <si>
    <t>Total Sum of primary_impact_units_proxy</t>
  </si>
  <si>
    <t>Sum of primary_impact_units_proxy</t>
  </si>
  <si>
    <t>Total Sum of total_units_sold</t>
  </si>
  <si>
    <t>Sum of total_units_sold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</si>
</sst>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ksh lohani" refreshedDate="46107.487650347219" createdVersion="8" refreshedVersion="8" minRefreshableVersion="3" recordCount="100" xr:uid="{95D506C4-25DC-4E6C-B996-FF05536338E1}">
  <cacheSource type="worksheet">
    <worksheetSource name="SQL_Business_Impact_Master"/>
  </cacheSource>
  <cacheFields count="27">
    <cacheField name="store_id" numFmtId="0">
      <sharedItems/>
    </cacheField>
    <cacheField name="product_id" numFmtId="0">
      <sharedItems/>
    </cacheField>
    <cacheField name="category_clean" numFmtId="0">
      <sharedItems count="5">
        <s v="Electronics"/>
        <s v="Clothing"/>
        <s v="Furniture"/>
        <s v="Groceries"/>
        <s v="Toys"/>
      </sharedItems>
    </cacheField>
    <cacheField name="region_clean" numFmtId="0">
      <sharedItems count="3">
        <s v="East"/>
        <s v="West"/>
        <s v="South"/>
      </sharedItems>
    </cacheField>
    <cacheField name="total_units_sold" numFmtId="0">
      <sharedItems containsSemiMixedTypes="0" containsString="0" containsNumber="1" containsInteger="1" minValue="92556" maxValue="109099"/>
    </cacheField>
    <cacheField name="total_units_ordered" numFmtId="0">
      <sharedItems containsSemiMixedTypes="0" containsString="0" containsNumber="1" containsInteger="1" minValue="77433" maxValue="83870"/>
    </cacheField>
    <cacheField name="avg_inventory_level" numFmtId="0">
      <sharedItems containsSemiMixedTypes="0" containsString="0" containsNumber="1" minValue="262.13" maxValue="290.87"/>
    </cacheField>
    <cacheField name="avg_cover_days" numFmtId="0">
      <sharedItems containsSemiMixedTypes="0" containsString="0" containsNumber="1" minValue="3.52" maxValue="34.56"/>
    </cacheField>
    <cacheField name="low_cover_pct" numFmtId="0">
      <sharedItems containsSemiMixedTypes="0" containsString="0" containsNumber="1" minValue="2.0499999999999998" maxValue="4.92"/>
    </cacheField>
    <cacheField name="high_cover_pct" numFmtId="0">
      <sharedItems containsSemiMixedTypes="0" containsString="0" containsNumber="1" minValue="8.07" maxValue="13.68"/>
    </cacheField>
    <cacheField name="zero_inventory_pct" numFmtId="0">
      <sharedItems containsSemiMixedTypes="0" containsString="0" containsNumber="1" containsInteger="1" minValue="0" maxValue="0"/>
    </cacheField>
    <cacheField name="order_day_pct" numFmtId="0">
      <sharedItems containsSemiMixedTypes="0" containsString="0" containsNumber="1" containsInteger="1" minValue="100" maxValue="100"/>
    </cacheField>
    <cacheField name="wape" numFmtId="0">
      <sharedItems containsSemiMixedTypes="0" containsString="0" containsNumber="1" minValue="5.5500000000000001E-2" maxValue="6.7400000000000002E-2"/>
    </cacheField>
    <cacheField name="forecast_bias" numFmtId="0">
      <sharedItems containsSemiMixedTypes="0" containsString="0" containsNumber="1" minValue="3.15E-2" maxValue="4.4299999999999999E-2"/>
    </cacheField>
    <cacheField name="total_at_risk_units_proxy" numFmtId="0">
      <sharedItems containsSemiMixedTypes="0" containsString="0" containsNumber="1" minValue="75.3" maxValue="280.58999999999997"/>
    </cacheField>
    <cacheField name="total_excess_units_proxy" numFmtId="0">
      <sharedItems containsSemiMixedTypes="0" containsString="0" containsNumber="1" minValue="8660.85" maxValue="17050.64"/>
    </cacheField>
    <cacheField name="policy_status" numFmtId="0">
      <sharedItems count="2">
        <s v="Overstock Risk"/>
        <s v="Stable"/>
      </sharedItems>
    </cacheField>
    <cacheField name="root_cause_hint" numFmtId="0">
      <sharedItems/>
    </cacheField>
    <cacheField name="priority_band" numFmtId="0">
      <sharedItems/>
    </cacheField>
    <cacheField name="reorder_behavior_assessment" numFmtId="0">
      <sharedItems/>
    </cacheField>
    <cacheField name="safety_stock_behavior_assessment" numFmtId="0">
      <sharedItems/>
    </cacheField>
    <cacheField name="lead_time_behavior_proxy" numFmtId="0">
      <sharedItems/>
    </cacheField>
    <cacheField name="demand_variability_band" numFmtId="0">
      <sharedItems/>
    </cacheField>
    <cacheField name="impact_theme" numFmtId="0">
      <sharedItems count="2">
        <s v="Excess / Working Capital"/>
        <s v="Operational Burden"/>
      </sharedItems>
    </cacheField>
    <cacheField name="impact_priority" numFmtId="0">
      <sharedItems count="2">
        <s v="High"/>
        <s v="Medium"/>
      </sharedItems>
    </cacheField>
    <cacheField name="primary_impact_units_proxy" numFmtId="0">
      <sharedItems containsSemiMixedTypes="0" containsString="0" containsNumber="1" minValue="0" maxValue="14282.47"/>
    </cacheField>
    <cacheField name="primary_impact_vs_sales_ratio" numFmtId="0">
      <sharedItems containsSemiMixedTypes="0" containsString="0" containsNumber="1" minValue="0" maxValue="0.14307651466581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5"/>
    <s v="P0011"/>
    <x v="0"/>
    <x v="0"/>
    <n v="99824"/>
    <n v="81584"/>
    <n v="279.14"/>
    <n v="20.12"/>
    <n v="3.15"/>
    <n v="12.31"/>
    <n v="0"/>
    <n v="100"/>
    <n v="6.0699999999999997E-2"/>
    <n v="3.5400000000000001E-2"/>
    <n v="199.55"/>
    <n v="14282.47"/>
    <x v="0"/>
    <s v="Replenishment-driven"/>
    <s v="High"/>
    <s v="Trigger Too Early / Excessive"/>
    <s v="Buffer Broadly Adequate"/>
    <s v="Continuous Daily Ordering"/>
    <s v="Medium Variability"/>
    <x v="0"/>
    <x v="0"/>
    <n v="14282.47"/>
    <n v="0.14307651466581184"/>
  </r>
  <r>
    <s v="S005"/>
    <s v="P0017"/>
    <x v="1"/>
    <x v="0"/>
    <n v="100358"/>
    <n v="81106"/>
    <n v="282.60000000000002"/>
    <n v="8.34"/>
    <n v="3.15"/>
    <n v="13.41"/>
    <n v="0"/>
    <n v="100"/>
    <n v="5.8500000000000003E-2"/>
    <n v="3.6900000000000002E-2"/>
    <n v="152.78"/>
    <n v="13528.13"/>
    <x v="0"/>
    <s v="Replenishment-driven"/>
    <s v="High"/>
    <s v="Trigger Too Early / Excessive"/>
    <s v="Buffer Broadly Adequate"/>
    <s v="Continuous Daily Ordering"/>
    <s v="Medium Variability"/>
    <x v="0"/>
    <x v="0"/>
    <n v="13528.13"/>
    <n v="0.13479872058032244"/>
  </r>
  <r>
    <s v="S001"/>
    <s v="P0009"/>
    <x v="2"/>
    <x v="0"/>
    <n v="96080"/>
    <n v="78729"/>
    <n v="270.52999999999997"/>
    <n v="8.11"/>
    <n v="3.56"/>
    <n v="12.04"/>
    <n v="0"/>
    <n v="100"/>
    <n v="6.2199999999999998E-2"/>
    <n v="3.78E-2"/>
    <n v="162.49"/>
    <n v="13504.75"/>
    <x v="0"/>
    <s v="Replenishment-driven"/>
    <s v="High"/>
    <s v="Trigger Too Early / Excessive"/>
    <s v="Buffer Broadly Adequate"/>
    <s v="Continuous Daily Ordering"/>
    <s v="Medium Variability"/>
    <x v="0"/>
    <x v="0"/>
    <n v="13504.75"/>
    <n v="0.14055734804329725"/>
  </r>
  <r>
    <s v="S002"/>
    <s v="P0003"/>
    <x v="3"/>
    <x v="0"/>
    <n v="97227"/>
    <n v="79353"/>
    <n v="273.89999999999998"/>
    <n v="7.75"/>
    <n v="2.6"/>
    <n v="13.68"/>
    <n v="0"/>
    <n v="100"/>
    <n v="6.3100000000000003E-2"/>
    <n v="3.9199999999999999E-2"/>
    <n v="87.25"/>
    <n v="13377.17"/>
    <x v="0"/>
    <s v="Replenishment-driven"/>
    <s v="High"/>
    <s v="Trigger Too Early / Excessive"/>
    <s v="Buffer Broadly Adequate"/>
    <s v="Continuous Daily Ordering"/>
    <s v="Medium Variability"/>
    <x v="0"/>
    <x v="0"/>
    <n v="13377.17"/>
    <n v="0.13758698715377415"/>
  </r>
  <r>
    <s v="S005"/>
    <s v="P0012"/>
    <x v="1"/>
    <x v="0"/>
    <n v="98432"/>
    <n v="82216"/>
    <n v="278.64"/>
    <n v="17.079999999999998"/>
    <n v="3.83"/>
    <n v="11.35"/>
    <n v="0"/>
    <n v="100"/>
    <n v="6.3500000000000001E-2"/>
    <n v="4.2000000000000003E-2"/>
    <n v="166.38"/>
    <n v="13320.66"/>
    <x v="0"/>
    <s v="Replenishment-driven"/>
    <s v="High"/>
    <s v="Trigger Too Early / Excessive"/>
    <s v="Buffer Broadly Adequate"/>
    <s v="Continuous Daily Ordering"/>
    <s v="Medium Variability"/>
    <x v="0"/>
    <x v="0"/>
    <n v="13320.66"/>
    <n v="0.13532855169050714"/>
  </r>
  <r>
    <s v="S001"/>
    <s v="P0005"/>
    <x v="3"/>
    <x v="0"/>
    <n v="97318"/>
    <n v="79525"/>
    <n v="269.33"/>
    <n v="13.49"/>
    <n v="3.15"/>
    <n v="10.4"/>
    <n v="0"/>
    <n v="100"/>
    <n v="6.5500000000000003E-2"/>
    <n v="3.8699999999999998E-2"/>
    <n v="148.79"/>
    <n v="13259.79"/>
    <x v="0"/>
    <s v="Replenishment-driven"/>
    <s v="High"/>
    <s v="Trigger Too Early / Excessive"/>
    <s v="Buffer Broadly Adequate"/>
    <s v="Continuous Daily Ordering"/>
    <s v="Medium Variability"/>
    <x v="0"/>
    <x v="0"/>
    <n v="13259.79"/>
    <n v="0.13625218356316407"/>
  </r>
  <r>
    <s v="S001"/>
    <s v="P0008"/>
    <x v="0"/>
    <x v="0"/>
    <n v="100244"/>
    <n v="80051"/>
    <n v="269.92"/>
    <n v="14.16"/>
    <n v="3.15"/>
    <n v="11.22"/>
    <n v="0"/>
    <n v="100"/>
    <n v="6.0199999999999997E-2"/>
    <n v="3.3700000000000001E-2"/>
    <n v="167.72"/>
    <n v="13199.66"/>
    <x v="0"/>
    <s v="Replenishment-driven"/>
    <s v="High"/>
    <s v="Trigger Too Early / Excessive"/>
    <s v="Buffer Broadly Adequate"/>
    <s v="Continuous Daily Ordering"/>
    <s v="Medium Variability"/>
    <x v="0"/>
    <x v="0"/>
    <n v="13199.66"/>
    <n v="0.13167531223813894"/>
  </r>
  <r>
    <s v="S001"/>
    <s v="P0013"/>
    <x v="3"/>
    <x v="0"/>
    <n v="97131"/>
    <n v="82530"/>
    <n v="263.73"/>
    <n v="10.25"/>
    <n v="3.97"/>
    <n v="10.26"/>
    <n v="0"/>
    <n v="100"/>
    <n v="6.3799999999999996E-2"/>
    <n v="4.1700000000000001E-2"/>
    <n v="178.47"/>
    <n v="12771.46"/>
    <x v="0"/>
    <s v="Replenishment-driven"/>
    <s v="High"/>
    <s v="Trigger Too Early / Excessive"/>
    <s v="Buffer Broadly Adequate"/>
    <s v="Continuous Daily Ordering"/>
    <s v="Medium Variability"/>
    <x v="0"/>
    <x v="0"/>
    <n v="12771.46"/>
    <n v="0.13148696090846382"/>
  </r>
  <r>
    <s v="S004"/>
    <s v="P0020"/>
    <x v="4"/>
    <x v="1"/>
    <n v="99299"/>
    <n v="81255"/>
    <n v="275.11"/>
    <n v="7.42"/>
    <n v="4.0999999999999996"/>
    <n v="10.67"/>
    <n v="0"/>
    <n v="100"/>
    <n v="5.9400000000000001E-2"/>
    <n v="3.2500000000000001E-2"/>
    <n v="209.83"/>
    <n v="12480.68"/>
    <x v="0"/>
    <s v="Replenishment-driven"/>
    <s v="High"/>
    <s v="Trigger Too Early / Excessive"/>
    <s v="Buffer Broadly Adequate"/>
    <s v="Continuous Daily Ordering"/>
    <s v="Medium Variability"/>
    <x v="0"/>
    <x v="0"/>
    <n v="12480.68"/>
    <n v="0.12568787198259801"/>
  </r>
  <r>
    <s v="S004"/>
    <s v="P0013"/>
    <x v="3"/>
    <x v="1"/>
    <n v="96049"/>
    <n v="79767"/>
    <n v="265.20999999999998"/>
    <n v="12.26"/>
    <n v="3.69"/>
    <n v="12.45"/>
    <n v="0"/>
    <n v="100"/>
    <n v="6.59E-2"/>
    <n v="3.9E-2"/>
    <n v="168.85"/>
    <n v="12341.92"/>
    <x v="0"/>
    <s v="Replenishment-driven"/>
    <s v="High"/>
    <s v="Trigger Too Early / Excessive"/>
    <s v="Buffer Broadly Adequate"/>
    <s v="Continuous Daily Ordering"/>
    <s v="Medium Variability"/>
    <x v="0"/>
    <x v="0"/>
    <n v="12341.92"/>
    <n v="0.12849608012576913"/>
  </r>
  <r>
    <s v="S003"/>
    <s v="P0006"/>
    <x v="3"/>
    <x v="2"/>
    <n v="102173"/>
    <n v="78454"/>
    <n v="277.82"/>
    <n v="7.08"/>
    <n v="3.56"/>
    <n v="11.63"/>
    <n v="0"/>
    <n v="100"/>
    <n v="5.7599999999999998E-2"/>
    <n v="3.5299999999999998E-2"/>
    <n v="200.99"/>
    <n v="12309.92"/>
    <x v="0"/>
    <s v="Replenishment-driven"/>
    <s v="High"/>
    <s v="Trigger Too Early / Excessive"/>
    <s v="Buffer Broadly Adequate"/>
    <s v="Continuous Daily Ordering"/>
    <s v="Medium Variability"/>
    <x v="0"/>
    <x v="0"/>
    <n v="12309.92"/>
    <n v="0.12048114472512307"/>
  </r>
  <r>
    <s v="S003"/>
    <s v="P0002"/>
    <x v="2"/>
    <x v="2"/>
    <n v="104350"/>
    <n v="79658"/>
    <n v="282.27999999999997"/>
    <n v="9.42"/>
    <n v="3.28"/>
    <n v="10.53"/>
    <n v="0"/>
    <n v="100"/>
    <n v="5.6899999999999999E-2"/>
    <n v="3.5000000000000003E-2"/>
    <n v="166.32"/>
    <n v="12208.35"/>
    <x v="0"/>
    <s v="Replenishment-driven"/>
    <s v="High"/>
    <s v="Trigger Too Early / Excessive"/>
    <s v="Buffer Broadly Adequate"/>
    <s v="Continuous Daily Ordering"/>
    <s v="Medium Variability"/>
    <x v="0"/>
    <x v="0"/>
    <n v="12208.35"/>
    <n v="0.11699425011978917"/>
  </r>
  <r>
    <s v="S002"/>
    <s v="P0017"/>
    <x v="1"/>
    <x v="0"/>
    <n v="96719"/>
    <n v="81103"/>
    <n v="274.20999999999998"/>
    <n v="8.68"/>
    <n v="3.97"/>
    <n v="13"/>
    <n v="0"/>
    <n v="100"/>
    <n v="6.4799999999999996E-2"/>
    <n v="3.9899999999999998E-2"/>
    <n v="172.59"/>
    <n v="12183.34"/>
    <x v="0"/>
    <s v="Replenishment-driven"/>
    <s v="High"/>
    <s v="Trigger Too Early / Excessive"/>
    <s v="Buffer Broadly Adequate"/>
    <s v="Continuous Daily Ordering"/>
    <s v="Medium Variability"/>
    <x v="0"/>
    <x v="0"/>
    <n v="12183.34"/>
    <n v="0.12596635614512144"/>
  </r>
  <r>
    <s v="S005"/>
    <s v="P0006"/>
    <x v="3"/>
    <x v="0"/>
    <n v="98871"/>
    <n v="80435"/>
    <n v="273.36"/>
    <n v="34.56"/>
    <n v="2.74"/>
    <n v="12.04"/>
    <n v="0"/>
    <n v="100"/>
    <n v="6.3E-2"/>
    <n v="4.1700000000000001E-2"/>
    <n v="116.42"/>
    <n v="11691.84"/>
    <x v="0"/>
    <s v="Replenishment-driven"/>
    <s v="High"/>
    <s v="Trigger Too Early / Excessive"/>
    <s v="Buffer Broadly Adequate"/>
    <s v="Continuous Daily Ordering"/>
    <s v="Medium Variability"/>
    <x v="0"/>
    <x v="0"/>
    <n v="11691.84"/>
    <n v="0.11825348180963073"/>
  </r>
  <r>
    <s v="S001"/>
    <s v="P0014"/>
    <x v="4"/>
    <x v="0"/>
    <n v="99870"/>
    <n v="81397"/>
    <n v="270.89999999999998"/>
    <n v="7.95"/>
    <n v="3.01"/>
    <n v="12.45"/>
    <n v="0"/>
    <n v="100"/>
    <n v="6.0100000000000001E-2"/>
    <n v="3.4500000000000003E-2"/>
    <n v="122.91"/>
    <n v="11664.42"/>
    <x v="0"/>
    <s v="Replenishment-driven"/>
    <s v="High"/>
    <s v="Trigger Too Early / Excessive"/>
    <s v="Buffer Broadly Adequate"/>
    <s v="Continuous Daily Ordering"/>
    <s v="Medium Variability"/>
    <x v="0"/>
    <x v="0"/>
    <n v="11664.42"/>
    <n v="0.11679603484529889"/>
  </r>
  <r>
    <s v="S003"/>
    <s v="P0005"/>
    <x v="3"/>
    <x v="2"/>
    <n v="105408"/>
    <n v="81982"/>
    <n v="277.57"/>
    <n v="8.6300000000000008"/>
    <n v="2.87"/>
    <n v="10.81"/>
    <n v="0"/>
    <n v="100"/>
    <n v="5.7500000000000002E-2"/>
    <n v="3.3099999999999997E-2"/>
    <n v="173.31"/>
    <n v="11387.28"/>
    <x v="0"/>
    <s v="Replenishment-driven"/>
    <s v="High"/>
    <s v="Trigger Too Early / Excessive"/>
    <s v="Buffer Broadly Adequate"/>
    <s v="Continuous Daily Ordering"/>
    <s v="Medium Variability"/>
    <x v="0"/>
    <x v="0"/>
    <n v="11387.28"/>
    <n v="0.10803051001821494"/>
  </r>
  <r>
    <s v="S003"/>
    <s v="P0011"/>
    <x v="0"/>
    <x v="2"/>
    <n v="101392"/>
    <n v="79167"/>
    <n v="274.63"/>
    <n v="9.18"/>
    <n v="2.74"/>
    <n v="10.81"/>
    <n v="0"/>
    <n v="100"/>
    <n v="6.1199999999999997E-2"/>
    <n v="3.7699999999999997E-2"/>
    <n v="160.77000000000001"/>
    <n v="11221.12"/>
    <x v="0"/>
    <s v="Replenishment-driven"/>
    <s v="High"/>
    <s v="Trigger Too Early / Excessive"/>
    <s v="Buffer Broadly Adequate"/>
    <s v="Continuous Daily Ordering"/>
    <s v="Medium Variability"/>
    <x v="0"/>
    <x v="0"/>
    <n v="11221.12"/>
    <n v="0.11067066435221713"/>
  </r>
  <r>
    <s v="S004"/>
    <s v="P0017"/>
    <x v="1"/>
    <x v="1"/>
    <n v="99123"/>
    <n v="79952"/>
    <n v="271.99"/>
    <n v="8.26"/>
    <n v="3.56"/>
    <n v="11.9"/>
    <n v="0"/>
    <n v="100"/>
    <n v="6.0400000000000002E-2"/>
    <n v="3.5999999999999997E-2"/>
    <n v="177.93"/>
    <n v="10933.97"/>
    <x v="0"/>
    <s v="Replenishment-driven"/>
    <s v="High"/>
    <s v="Trigger Too Early / Excessive"/>
    <s v="Buffer Broadly Adequate"/>
    <s v="Continuous Daily Ordering"/>
    <s v="Medium Variability"/>
    <x v="0"/>
    <x v="0"/>
    <n v="10933.97"/>
    <n v="0.11030709320742915"/>
  </r>
  <r>
    <s v="S001"/>
    <s v="P0001"/>
    <x v="3"/>
    <x v="0"/>
    <n v="100371"/>
    <n v="80505"/>
    <n v="272.82"/>
    <n v="28.61"/>
    <n v="4.0999999999999996"/>
    <n v="10.67"/>
    <n v="0"/>
    <n v="100"/>
    <n v="6.2399999999999997E-2"/>
    <n v="4.2299999999999997E-2"/>
    <n v="189.7"/>
    <n v="10490.08"/>
    <x v="0"/>
    <s v="Replenishment-driven"/>
    <s v="High"/>
    <s v="Trigger Too Early / Excessive"/>
    <s v="Buffer Broadly Adequate"/>
    <s v="Continuous Daily Ordering"/>
    <s v="Medium Variability"/>
    <x v="0"/>
    <x v="0"/>
    <n v="10490.08"/>
    <n v="0.1045130565601618"/>
  </r>
  <r>
    <s v="S001"/>
    <s v="P0016"/>
    <x v="3"/>
    <x v="0"/>
    <n v="97174"/>
    <n v="81277"/>
    <n v="265.39"/>
    <n v="15.07"/>
    <n v="3.15"/>
    <n v="9.99"/>
    <n v="0"/>
    <n v="100"/>
    <n v="6.3600000000000004E-2"/>
    <n v="3.7499999999999999E-2"/>
    <n v="160.80000000000001"/>
    <n v="9604.2000000000007"/>
    <x v="0"/>
    <s v="Replenishment-driven"/>
    <s v="High"/>
    <s v="Trigger Too Early / Excessive"/>
    <s v="Buffer Broadly Adequate"/>
    <s v="Continuous Daily Ordering"/>
    <s v="Medium Variability"/>
    <x v="0"/>
    <x v="0"/>
    <n v="9604.2000000000007"/>
    <n v="9.8835079342210877E-2"/>
  </r>
  <r>
    <s v="S005"/>
    <s v="P0002"/>
    <x v="2"/>
    <x v="0"/>
    <n v="98187"/>
    <n v="78287"/>
    <n v="264.98"/>
    <n v="7.44"/>
    <n v="4.0999999999999996"/>
    <n v="9.85"/>
    <n v="0"/>
    <n v="100"/>
    <n v="5.9499999999999997E-2"/>
    <n v="3.4500000000000003E-2"/>
    <n v="209.04"/>
    <n v="9546.77"/>
    <x v="0"/>
    <s v="Replenishment-driven"/>
    <s v="High"/>
    <s v="Trigger Too Early / Excessive"/>
    <s v="Buffer Broadly Adequate"/>
    <s v="Continuous Daily Ordering"/>
    <s v="Medium Variability"/>
    <x v="0"/>
    <x v="0"/>
    <n v="9546.77"/>
    <n v="9.723048876124131E-2"/>
  </r>
  <r>
    <s v="S001"/>
    <s v="P0010"/>
    <x v="4"/>
    <x v="0"/>
    <n v="96756"/>
    <n v="83158"/>
    <n v="274.89"/>
    <n v="7.05"/>
    <n v="3.15"/>
    <n v="12.72"/>
    <n v="0"/>
    <n v="100"/>
    <n v="6.0199999999999997E-2"/>
    <n v="3.2500000000000001E-2"/>
    <n v="208.32"/>
    <n v="13773.03"/>
    <x v="0"/>
    <s v="Replenishment-driven"/>
    <s v="Medium"/>
    <s v="Trigger Too Early / Excessive"/>
    <s v="Buffer Broadly Adequate"/>
    <s v="Continuous Daily Ordering"/>
    <s v="Medium Variability"/>
    <x v="0"/>
    <x v="1"/>
    <n v="13773.03"/>
    <n v="0.14234807143743022"/>
  </r>
  <r>
    <s v="S002"/>
    <s v="P0015"/>
    <x v="2"/>
    <x v="0"/>
    <n v="95606"/>
    <n v="82839"/>
    <n v="269.69"/>
    <n v="7.59"/>
    <n v="3.01"/>
    <n v="10.26"/>
    <n v="0"/>
    <n v="100"/>
    <n v="6.3500000000000001E-2"/>
    <n v="4.1200000000000001E-2"/>
    <n v="169.15"/>
    <n v="12025.47"/>
    <x v="0"/>
    <s v="Replenishment-driven"/>
    <s v="Medium"/>
    <s v="Trigger Too Early / Excessive"/>
    <s v="Buffer Broadly Adequate"/>
    <s v="Continuous Daily Ordering"/>
    <s v="Medium Variability"/>
    <x v="0"/>
    <x v="1"/>
    <n v="12025.47"/>
    <n v="0.12578154090747443"/>
  </r>
  <r>
    <s v="S005"/>
    <s v="P0015"/>
    <x v="2"/>
    <x v="0"/>
    <n v="109099"/>
    <n v="77855"/>
    <n v="277.91000000000003"/>
    <n v="4.04"/>
    <n v="4.79"/>
    <n v="8.48"/>
    <n v="0"/>
    <n v="100"/>
    <n v="5.7200000000000001E-2"/>
    <n v="3.7499999999999999E-2"/>
    <n v="164.59"/>
    <n v="9342.290000000000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3"/>
    <x v="3"/>
    <x v="2"/>
    <n v="107479"/>
    <n v="81673"/>
    <n v="285.26"/>
    <n v="4.4000000000000004"/>
    <n v="2.74"/>
    <n v="9.99"/>
    <n v="0"/>
    <n v="100"/>
    <n v="5.57E-2"/>
    <n v="3.15E-2"/>
    <n v="151.84"/>
    <n v="11155.7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1"/>
    <x v="3"/>
    <x v="0"/>
    <n v="105999"/>
    <n v="80793"/>
    <n v="278.33999999999997"/>
    <n v="4.28"/>
    <n v="3.28"/>
    <n v="9.58"/>
    <n v="0"/>
    <n v="100"/>
    <n v="5.5500000000000001E-2"/>
    <n v="3.2399999999999998E-2"/>
    <n v="164.19"/>
    <n v="9487.7199999999993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3"/>
    <x v="3"/>
    <x v="0"/>
    <n v="105667"/>
    <n v="81734"/>
    <n v="283.99"/>
    <n v="5.09"/>
    <n v="3.42"/>
    <n v="10.53"/>
    <n v="0"/>
    <n v="100"/>
    <n v="5.9200000000000003E-2"/>
    <n v="3.7600000000000001E-2"/>
    <n v="137.07"/>
    <n v="12436.3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9"/>
    <x v="2"/>
    <x v="0"/>
    <n v="105376"/>
    <n v="80265"/>
    <n v="282.95"/>
    <n v="3.81"/>
    <n v="3.69"/>
    <n v="11.35"/>
    <n v="0"/>
    <n v="100"/>
    <n v="5.8000000000000003E-2"/>
    <n v="3.49E-2"/>
    <n v="219.7"/>
    <n v="11882.9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20"/>
    <x v="4"/>
    <x v="0"/>
    <n v="105343"/>
    <n v="81092"/>
    <n v="276.31"/>
    <n v="4.5199999999999996"/>
    <n v="4.6500000000000004"/>
    <n v="10.67"/>
    <n v="0"/>
    <n v="100"/>
    <n v="5.7700000000000001E-2"/>
    <n v="3.32E-2"/>
    <n v="257.39"/>
    <n v="8660.8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4"/>
    <x v="4"/>
    <x v="2"/>
    <n v="105188"/>
    <n v="81461"/>
    <n v="290.87"/>
    <n v="6.32"/>
    <n v="3.56"/>
    <n v="11.9"/>
    <n v="0"/>
    <n v="100"/>
    <n v="5.7700000000000001E-2"/>
    <n v="3.4500000000000003E-2"/>
    <n v="163.38"/>
    <n v="14085.2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6"/>
    <x v="3"/>
    <x v="1"/>
    <n v="104777"/>
    <n v="80588"/>
    <n v="280.27"/>
    <n v="4.67"/>
    <n v="2.74"/>
    <n v="9.7100000000000009"/>
    <n v="0"/>
    <n v="100"/>
    <n v="5.6500000000000002E-2"/>
    <n v="3.3000000000000002E-2"/>
    <n v="105.45"/>
    <n v="10500.3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7"/>
    <x v="1"/>
    <x v="2"/>
    <n v="104566"/>
    <n v="79597"/>
    <n v="277.14999999999998"/>
    <n v="6.96"/>
    <n v="3.56"/>
    <n v="10.4"/>
    <n v="0"/>
    <n v="100"/>
    <n v="5.9900000000000002E-2"/>
    <n v="3.7199999999999997E-2"/>
    <n v="148.24"/>
    <n v="11578.2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9"/>
    <x v="1"/>
    <x v="2"/>
    <n v="104524"/>
    <n v="79712"/>
    <n v="277.97000000000003"/>
    <n v="5.08"/>
    <n v="4.24"/>
    <n v="10.94"/>
    <n v="0"/>
    <n v="100"/>
    <n v="6.13E-2"/>
    <n v="3.9899999999999998E-2"/>
    <n v="232.62"/>
    <n v="10534.3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4"/>
    <x v="4"/>
    <x v="1"/>
    <n v="103904"/>
    <n v="81191"/>
    <n v="282.35000000000002"/>
    <n v="6.62"/>
    <n v="2.74"/>
    <n v="11.08"/>
    <n v="0"/>
    <n v="100"/>
    <n v="5.6899999999999999E-2"/>
    <n v="3.3799999999999997E-2"/>
    <n v="158.1"/>
    <n v="11526.2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5"/>
    <x v="3"/>
    <x v="0"/>
    <n v="103703"/>
    <n v="80952"/>
    <n v="276.77999999999997"/>
    <n v="3.52"/>
    <n v="3.97"/>
    <n v="8.07"/>
    <n v="0"/>
    <n v="100"/>
    <n v="5.6800000000000003E-2"/>
    <n v="3.3399999999999999E-2"/>
    <n v="208.87"/>
    <n v="8856.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6"/>
    <x v="3"/>
    <x v="2"/>
    <n v="103641"/>
    <n v="81896"/>
    <n v="277.99"/>
    <n v="6.25"/>
    <n v="4.51"/>
    <n v="12.59"/>
    <n v="0"/>
    <n v="100"/>
    <n v="5.7700000000000001E-2"/>
    <n v="3.2000000000000001E-2"/>
    <n v="183.7"/>
    <n v="13500.6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03"/>
    <x v="3"/>
    <x v="0"/>
    <n v="103393"/>
    <n v="83635"/>
    <n v="274.54000000000002"/>
    <n v="4.3899999999999997"/>
    <n v="3.97"/>
    <n v="10.4"/>
    <n v="0"/>
    <n v="100"/>
    <n v="5.8500000000000003E-2"/>
    <n v="3.6200000000000003E-2"/>
    <n v="171.26"/>
    <n v="10491.1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6"/>
    <x v="3"/>
    <x v="1"/>
    <n v="103147"/>
    <n v="79770"/>
    <n v="273.60000000000002"/>
    <n v="4.53"/>
    <n v="4.24"/>
    <n v="8.34"/>
    <n v="0"/>
    <n v="100"/>
    <n v="5.91E-2"/>
    <n v="3.5099999999999999E-2"/>
    <n v="280.58999999999997"/>
    <n v="9432.1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04"/>
    <x v="0"/>
    <x v="0"/>
    <n v="103001"/>
    <n v="78936"/>
    <n v="275.91000000000003"/>
    <n v="4.91"/>
    <n v="3.83"/>
    <n v="12.72"/>
    <n v="0"/>
    <n v="100"/>
    <n v="5.9499999999999997E-2"/>
    <n v="3.6700000000000003E-2"/>
    <n v="147.80000000000001"/>
    <n v="13697.8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9"/>
    <x v="2"/>
    <x v="2"/>
    <n v="102682"/>
    <n v="80566"/>
    <n v="280.16000000000003"/>
    <n v="4.5599999999999996"/>
    <n v="3.83"/>
    <n v="11.63"/>
    <n v="0"/>
    <n v="100"/>
    <n v="5.79E-2"/>
    <n v="3.6299999999999999E-2"/>
    <n v="217.02"/>
    <n v="12483.16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2"/>
    <x v="1"/>
    <x v="0"/>
    <n v="102528"/>
    <n v="81020"/>
    <n v="271.63"/>
    <n v="4.8"/>
    <n v="3.01"/>
    <n v="9.17"/>
    <n v="0"/>
    <n v="100"/>
    <n v="5.9900000000000002E-2"/>
    <n v="3.6600000000000001E-2"/>
    <n v="188.54"/>
    <n v="10025.16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8"/>
    <x v="0"/>
    <x v="0"/>
    <n v="102482"/>
    <n v="80004"/>
    <n v="272.02999999999997"/>
    <n v="4.13"/>
    <n v="3.97"/>
    <n v="12.18"/>
    <n v="0"/>
    <n v="100"/>
    <n v="5.7799999999999997E-2"/>
    <n v="3.44E-2"/>
    <n v="179.85"/>
    <n v="11634.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1"/>
    <x v="0"/>
    <x v="1"/>
    <n v="102149"/>
    <n v="78526"/>
    <n v="271.73"/>
    <n v="6.71"/>
    <n v="3.42"/>
    <n v="9.85"/>
    <n v="0"/>
    <n v="100"/>
    <n v="6.0499999999999998E-2"/>
    <n v="3.6700000000000003E-2"/>
    <n v="166.42"/>
    <n v="9790.959999999999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3"/>
    <x v="3"/>
    <x v="0"/>
    <n v="101844"/>
    <n v="81039"/>
    <n v="283.81"/>
    <n v="6.55"/>
    <n v="4.92"/>
    <n v="10.94"/>
    <n v="0"/>
    <n v="100"/>
    <n v="6.0699999999999997E-2"/>
    <n v="3.8100000000000002E-2"/>
    <n v="209.46"/>
    <n v="11966.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6"/>
    <x v="3"/>
    <x v="0"/>
    <n v="101821"/>
    <n v="79637"/>
    <n v="278.39999999999998"/>
    <n v="5.93"/>
    <n v="3.56"/>
    <n v="12.31"/>
    <n v="0"/>
    <n v="100"/>
    <n v="5.8700000000000002E-2"/>
    <n v="3.6999999999999998E-2"/>
    <n v="132.63999999999999"/>
    <n v="11079.3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8"/>
    <x v="0"/>
    <x v="0"/>
    <n v="101475"/>
    <n v="79026"/>
    <n v="282.55"/>
    <n v="5.1100000000000003"/>
    <n v="2.33"/>
    <n v="11.63"/>
    <n v="0"/>
    <n v="100"/>
    <n v="6.3200000000000006E-2"/>
    <n v="4.0500000000000001E-2"/>
    <n v="129.44"/>
    <n v="13149.0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7"/>
    <x v="0"/>
    <x v="2"/>
    <n v="101464"/>
    <n v="79438"/>
    <n v="279.98"/>
    <n v="6.77"/>
    <n v="3.97"/>
    <n v="11.22"/>
    <n v="0"/>
    <n v="100"/>
    <n v="5.9900000000000002E-2"/>
    <n v="3.5900000000000001E-2"/>
    <n v="126.17"/>
    <n v="12935.33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20"/>
    <x v="4"/>
    <x v="0"/>
    <n v="101370"/>
    <n v="81152"/>
    <n v="283.89999999999998"/>
    <n v="5.63"/>
    <n v="2.6"/>
    <n v="11.35"/>
    <n v="0"/>
    <n v="100"/>
    <n v="5.8999999999999997E-2"/>
    <n v="3.3399999999999999E-2"/>
    <n v="165.44"/>
    <n v="12368.7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1"/>
    <x v="3"/>
    <x v="1"/>
    <n v="101270"/>
    <n v="83870"/>
    <n v="270.79000000000002"/>
    <n v="4.8899999999999997"/>
    <n v="4.0999999999999996"/>
    <n v="10.67"/>
    <n v="0"/>
    <n v="100"/>
    <n v="6.0299999999999999E-2"/>
    <n v="3.8199999999999998E-2"/>
    <n v="200.64"/>
    <n v="10646.0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7"/>
    <x v="0"/>
    <x v="0"/>
    <n v="101198"/>
    <n v="79882"/>
    <n v="278.19"/>
    <n v="6.53"/>
    <n v="3.56"/>
    <n v="11.35"/>
    <n v="0"/>
    <n v="100"/>
    <n v="6.2100000000000002E-2"/>
    <n v="3.9699999999999999E-2"/>
    <n v="208.19"/>
    <n v="12402.1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4"/>
    <x v="0"/>
    <x v="0"/>
    <n v="101190"/>
    <n v="77866"/>
    <n v="272.06"/>
    <n v="4.38"/>
    <n v="4.79"/>
    <n v="10.67"/>
    <n v="0"/>
    <n v="100"/>
    <n v="6.1600000000000002E-2"/>
    <n v="3.7999999999999999E-2"/>
    <n v="201.75"/>
    <n v="9582.2999999999993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20"/>
    <x v="4"/>
    <x v="0"/>
    <n v="101144"/>
    <n v="82977"/>
    <n v="276.02"/>
    <n v="3.78"/>
    <n v="3.15"/>
    <n v="10.4"/>
    <n v="0"/>
    <n v="100"/>
    <n v="6.0100000000000001E-2"/>
    <n v="3.7600000000000001E-2"/>
    <n v="143.56"/>
    <n v="10702.7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5"/>
    <x v="2"/>
    <x v="2"/>
    <n v="101119"/>
    <n v="80958"/>
    <n v="279.27"/>
    <n v="5.26"/>
    <n v="2.87"/>
    <n v="10.94"/>
    <n v="0"/>
    <n v="100"/>
    <n v="5.6800000000000003E-2"/>
    <n v="3.39E-2"/>
    <n v="180.14"/>
    <n v="12923.1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6"/>
    <x v="3"/>
    <x v="0"/>
    <n v="101059"/>
    <n v="79978"/>
    <n v="285.47000000000003"/>
    <n v="4.3099999999999996"/>
    <n v="2.74"/>
    <n v="11.76"/>
    <n v="0"/>
    <n v="100"/>
    <n v="6.1100000000000002E-2"/>
    <n v="3.6299999999999999E-2"/>
    <n v="144.16"/>
    <n v="11892.13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5"/>
    <x v="2"/>
    <x v="0"/>
    <n v="100795"/>
    <n v="78138"/>
    <n v="277.48"/>
    <n v="4.93"/>
    <n v="2.0499999999999998"/>
    <n v="13.13"/>
    <n v="0"/>
    <n v="100"/>
    <n v="5.8599999999999999E-2"/>
    <n v="3.5499999999999997E-2"/>
    <n v="109.19"/>
    <n v="14827.8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07"/>
    <x v="0"/>
    <x v="0"/>
    <n v="100749"/>
    <n v="79521"/>
    <n v="278.41000000000003"/>
    <n v="5.85"/>
    <n v="2.87"/>
    <n v="11.22"/>
    <n v="0"/>
    <n v="100"/>
    <n v="5.7500000000000002E-2"/>
    <n v="3.3700000000000001E-2"/>
    <n v="172.01"/>
    <n v="12975.7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0"/>
    <x v="4"/>
    <x v="1"/>
    <n v="100728"/>
    <n v="80467"/>
    <n v="280.39"/>
    <n v="6.21"/>
    <n v="4.92"/>
    <n v="10.94"/>
    <n v="0"/>
    <n v="100"/>
    <n v="6.0400000000000002E-2"/>
    <n v="3.56E-2"/>
    <n v="223.5"/>
    <n v="14658.4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5"/>
    <x v="2"/>
    <x v="1"/>
    <n v="100664"/>
    <n v="80930"/>
    <n v="277.69"/>
    <n v="5.13"/>
    <n v="3.69"/>
    <n v="10.81"/>
    <n v="0"/>
    <n v="100"/>
    <n v="6.0499999999999998E-2"/>
    <n v="3.8399999999999997E-2"/>
    <n v="167.01"/>
    <n v="12586.0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7"/>
    <x v="0"/>
    <x v="0"/>
    <n v="100601"/>
    <n v="77677"/>
    <n v="274.86"/>
    <n v="4.8"/>
    <n v="3.28"/>
    <n v="11.08"/>
    <n v="0"/>
    <n v="100"/>
    <n v="6.0199999999999997E-2"/>
    <n v="3.7999999999999999E-2"/>
    <n v="132.16999999999999"/>
    <n v="12343.9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20"/>
    <x v="4"/>
    <x v="2"/>
    <n v="100552"/>
    <n v="81334"/>
    <n v="272.64999999999998"/>
    <n v="4.8099999999999996"/>
    <n v="3.28"/>
    <n v="10.81"/>
    <n v="0"/>
    <n v="100"/>
    <n v="0.06"/>
    <n v="3.5999999999999997E-2"/>
    <n v="155.44999999999999"/>
    <n v="10935.0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0"/>
    <x v="4"/>
    <x v="0"/>
    <n v="100551"/>
    <n v="82331"/>
    <n v="281.5"/>
    <n v="4.53"/>
    <n v="3.69"/>
    <n v="12.31"/>
    <n v="0"/>
    <n v="100"/>
    <n v="6.1400000000000003E-2"/>
    <n v="3.8300000000000001E-2"/>
    <n v="210.32"/>
    <n v="13085.2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2"/>
    <x v="1"/>
    <x v="2"/>
    <n v="100529"/>
    <n v="79853"/>
    <n v="276.77"/>
    <n v="5.13"/>
    <n v="2.0499999999999998"/>
    <n v="11.63"/>
    <n v="0"/>
    <n v="100"/>
    <n v="5.8900000000000001E-2"/>
    <n v="3.27E-2"/>
    <n v="75.3"/>
    <n v="14009.0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4"/>
    <x v="4"/>
    <x v="0"/>
    <n v="100409"/>
    <n v="78477"/>
    <n v="273.18"/>
    <n v="4.45"/>
    <n v="3.01"/>
    <n v="12.18"/>
    <n v="0"/>
    <n v="100"/>
    <n v="5.9700000000000003E-2"/>
    <n v="3.6700000000000003E-2"/>
    <n v="129.43"/>
    <n v="12344.6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5"/>
    <x v="3"/>
    <x v="1"/>
    <n v="100309"/>
    <n v="80003"/>
    <n v="270.45"/>
    <n v="4.6900000000000004"/>
    <n v="3.56"/>
    <n v="10.81"/>
    <n v="0"/>
    <n v="100"/>
    <n v="5.9200000000000003E-2"/>
    <n v="3.7100000000000001E-2"/>
    <n v="199.03"/>
    <n v="11518.5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9"/>
    <x v="1"/>
    <x v="1"/>
    <n v="99798"/>
    <n v="79004"/>
    <n v="272.49"/>
    <n v="5.01"/>
    <n v="3.42"/>
    <n v="11.22"/>
    <n v="0"/>
    <n v="100"/>
    <n v="6.0999999999999999E-2"/>
    <n v="3.6499999999999998E-2"/>
    <n v="144.76"/>
    <n v="14428.8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7"/>
    <x v="1"/>
    <x v="0"/>
    <n v="99744"/>
    <n v="81577"/>
    <n v="285.64999999999998"/>
    <n v="5.44"/>
    <n v="2.33"/>
    <n v="11.9"/>
    <n v="0"/>
    <n v="100"/>
    <n v="6.13E-2"/>
    <n v="3.6600000000000001E-2"/>
    <n v="145.61000000000001"/>
    <n v="14734.9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9"/>
    <x v="2"/>
    <x v="0"/>
    <n v="99558"/>
    <n v="80512"/>
    <n v="272.26"/>
    <n v="5.0999999999999996"/>
    <n v="3.97"/>
    <n v="11.08"/>
    <n v="0"/>
    <n v="100"/>
    <n v="6.1199999999999997E-2"/>
    <n v="3.8300000000000001E-2"/>
    <n v="162.54"/>
    <n v="10834.3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0"/>
    <x v="4"/>
    <x v="2"/>
    <n v="99422"/>
    <n v="81076"/>
    <n v="265.29000000000002"/>
    <n v="6"/>
    <n v="4.0999999999999996"/>
    <n v="11.49"/>
    <n v="0"/>
    <n v="100"/>
    <n v="6.0600000000000001E-2"/>
    <n v="3.61E-2"/>
    <n v="174.21"/>
    <n v="1355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1"/>
    <x v="0"/>
    <x v="0"/>
    <n v="99145"/>
    <n v="79341"/>
    <n v="269.35000000000002"/>
    <n v="4.3"/>
    <n v="3.56"/>
    <n v="8.2100000000000009"/>
    <n v="0"/>
    <n v="100"/>
    <n v="6.1800000000000001E-2"/>
    <n v="3.85E-2"/>
    <n v="115.21"/>
    <n v="9253.4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0"/>
    <x v="4"/>
    <x v="0"/>
    <n v="99012"/>
    <n v="79891"/>
    <n v="272.55"/>
    <n v="4.24"/>
    <n v="3.42"/>
    <n v="11.08"/>
    <n v="0"/>
    <n v="100"/>
    <n v="6.1600000000000002E-2"/>
    <n v="3.5999999999999997E-2"/>
    <n v="124.32"/>
    <n v="13714.2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4"/>
    <x v="0"/>
    <x v="0"/>
    <n v="98836"/>
    <n v="79109"/>
    <n v="269.7"/>
    <n v="6.26"/>
    <n v="3.42"/>
    <n v="11.49"/>
    <n v="0"/>
    <n v="100"/>
    <n v="6.13E-2"/>
    <n v="3.6299999999999999E-2"/>
    <n v="101.69"/>
    <n v="13134.1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9"/>
    <x v="1"/>
    <x v="0"/>
    <n v="98724"/>
    <n v="81130"/>
    <n v="277.93"/>
    <n v="5.66"/>
    <n v="4.6500000000000004"/>
    <n v="12.04"/>
    <n v="0"/>
    <n v="100"/>
    <n v="6.1100000000000002E-2"/>
    <n v="3.5200000000000002E-2"/>
    <n v="268.06"/>
    <n v="15829.56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9"/>
    <x v="1"/>
    <x v="0"/>
    <n v="98488"/>
    <n v="81529"/>
    <n v="277.14"/>
    <n v="4.83"/>
    <n v="3.69"/>
    <n v="13.13"/>
    <n v="0"/>
    <n v="100"/>
    <n v="6.2E-2"/>
    <n v="3.73E-2"/>
    <n v="210.39"/>
    <n v="12816.1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9"/>
    <x v="2"/>
    <x v="1"/>
    <n v="98390"/>
    <n v="78654"/>
    <n v="270.73"/>
    <n v="5.64"/>
    <n v="4.0999999999999996"/>
    <n v="11.22"/>
    <n v="0"/>
    <n v="100"/>
    <n v="6.1600000000000002E-2"/>
    <n v="3.78E-2"/>
    <n v="238.57"/>
    <n v="11514.5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8"/>
    <x v="0"/>
    <x v="1"/>
    <n v="98371"/>
    <n v="80735"/>
    <n v="273.29000000000002"/>
    <n v="4.6100000000000003"/>
    <n v="4.6500000000000004"/>
    <n v="11.35"/>
    <n v="0"/>
    <n v="100"/>
    <n v="5.9299999999999999E-2"/>
    <n v="3.3500000000000002E-2"/>
    <n v="250.31"/>
    <n v="11913.9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4"/>
    <x v="4"/>
    <x v="0"/>
    <n v="98251"/>
    <n v="79959"/>
    <n v="272.16000000000003"/>
    <n v="3.55"/>
    <n v="3.56"/>
    <n v="9.3000000000000007"/>
    <n v="0"/>
    <n v="100"/>
    <n v="6.1800000000000001E-2"/>
    <n v="3.9E-2"/>
    <n v="169.7"/>
    <n v="10029.3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3"/>
    <x v="3"/>
    <x v="0"/>
    <n v="98116"/>
    <n v="80266"/>
    <n v="277.55"/>
    <n v="4.2"/>
    <n v="4.24"/>
    <n v="10.26"/>
    <n v="0"/>
    <n v="100"/>
    <n v="6.3399999999999998E-2"/>
    <n v="4.2000000000000003E-2"/>
    <n v="182.94"/>
    <n v="11711.4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18"/>
    <x v="0"/>
    <x v="0"/>
    <n v="98064"/>
    <n v="80105"/>
    <n v="270.77"/>
    <n v="4.01"/>
    <n v="3.69"/>
    <n v="10.81"/>
    <n v="0"/>
    <n v="100"/>
    <n v="6.2899999999999998E-2"/>
    <n v="0.04"/>
    <n v="167.17"/>
    <n v="11500.9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8"/>
    <x v="0"/>
    <x v="2"/>
    <n v="97864"/>
    <n v="79100"/>
    <n v="277.19"/>
    <n v="4.55"/>
    <n v="3.42"/>
    <n v="11.76"/>
    <n v="0"/>
    <n v="100"/>
    <n v="6.3200000000000006E-2"/>
    <n v="4.1799999999999997E-2"/>
    <n v="164.73"/>
    <n v="12467.4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8"/>
    <x v="0"/>
    <x v="0"/>
    <n v="97859"/>
    <n v="81106"/>
    <n v="274.70999999999998"/>
    <n v="4.17"/>
    <n v="2.74"/>
    <n v="11.08"/>
    <n v="0"/>
    <n v="100"/>
    <n v="6.1499999999999999E-2"/>
    <n v="3.9100000000000003E-2"/>
    <n v="138.15"/>
    <n v="10607.5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6"/>
    <x v="3"/>
    <x v="0"/>
    <n v="97418"/>
    <n v="79821"/>
    <n v="270.12"/>
    <n v="5.5"/>
    <n v="2.46"/>
    <n v="10.81"/>
    <n v="0"/>
    <n v="100"/>
    <n v="0.06"/>
    <n v="3.2000000000000001E-2"/>
    <n v="127.99"/>
    <n v="10033.6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5"/>
    <x v="3"/>
    <x v="0"/>
    <n v="96910"/>
    <n v="78502"/>
    <n v="271.08999999999997"/>
    <n v="5.62"/>
    <n v="3.15"/>
    <n v="10.67"/>
    <n v="0"/>
    <n v="100"/>
    <n v="6.2600000000000003E-2"/>
    <n v="3.9300000000000002E-2"/>
    <n v="207.24"/>
    <n v="12263.58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1"/>
    <x v="0"/>
    <x v="0"/>
    <n v="96852"/>
    <n v="82007"/>
    <n v="269.19"/>
    <n v="4.55"/>
    <n v="4.51"/>
    <n v="12.72"/>
    <n v="0"/>
    <n v="100"/>
    <n v="5.9499999999999997E-2"/>
    <n v="3.5400000000000001E-2"/>
    <n v="206.74"/>
    <n v="12790.3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4"/>
    <x v="0"/>
    <x v="2"/>
    <n v="96660"/>
    <n v="77433"/>
    <n v="269.94"/>
    <n v="4.5"/>
    <n v="4.92"/>
    <n v="10.67"/>
    <n v="0"/>
    <n v="100"/>
    <n v="6.4199999999999993E-2"/>
    <n v="4.0800000000000003E-2"/>
    <n v="277.27999999999997"/>
    <n v="13673.36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18"/>
    <x v="0"/>
    <x v="2"/>
    <n v="96507"/>
    <n v="80435"/>
    <n v="269.77999999999997"/>
    <n v="4.4800000000000004"/>
    <n v="3.83"/>
    <n v="10.4"/>
    <n v="0"/>
    <n v="100"/>
    <n v="6.3200000000000006E-2"/>
    <n v="3.85E-2"/>
    <n v="172.21"/>
    <n v="12277.8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19"/>
    <x v="1"/>
    <x v="0"/>
    <n v="96365"/>
    <n v="82181"/>
    <n v="267.10000000000002"/>
    <n v="4.43"/>
    <n v="3.97"/>
    <n v="10.53"/>
    <n v="0"/>
    <n v="100"/>
    <n v="6.1199999999999997E-2"/>
    <n v="3.4000000000000002E-2"/>
    <n v="180.46"/>
    <n v="12756.4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2"/>
    <x v="1"/>
    <x v="1"/>
    <n v="96327"/>
    <n v="81608"/>
    <n v="268.75"/>
    <n v="5.19"/>
    <n v="3.83"/>
    <n v="11.49"/>
    <n v="0"/>
    <n v="100"/>
    <n v="6.54E-2"/>
    <n v="4.1300000000000003E-2"/>
    <n v="235.3"/>
    <n v="10780.8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4"/>
    <x v="0"/>
    <x v="1"/>
    <n v="95814"/>
    <n v="81321"/>
    <n v="270.18"/>
    <n v="6.68"/>
    <n v="3.42"/>
    <n v="13"/>
    <n v="0"/>
    <n v="100"/>
    <n v="6.2700000000000006E-2"/>
    <n v="3.9899999999999998E-2"/>
    <n v="117.66"/>
    <n v="17050.6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5"/>
    <s v="P0001"/>
    <x v="3"/>
    <x v="0"/>
    <n v="95801"/>
    <n v="80253"/>
    <n v="268.33"/>
    <n v="4.24"/>
    <n v="3.15"/>
    <n v="11.35"/>
    <n v="0"/>
    <n v="100"/>
    <n v="6.4199999999999993E-2"/>
    <n v="3.9800000000000002E-2"/>
    <n v="177.4"/>
    <n v="11085.8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02"/>
    <x v="2"/>
    <x v="0"/>
    <n v="95789"/>
    <n v="82711"/>
    <n v="272.66000000000003"/>
    <n v="5.29"/>
    <n v="3.01"/>
    <n v="11.63"/>
    <n v="0"/>
    <n v="100"/>
    <n v="6.4199999999999993E-2"/>
    <n v="4.1300000000000003E-2"/>
    <n v="183.51"/>
    <n v="12582.2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06"/>
    <x v="3"/>
    <x v="0"/>
    <n v="95522"/>
    <n v="77941"/>
    <n v="272.95"/>
    <n v="6.34"/>
    <n v="4.0999999999999996"/>
    <n v="12.45"/>
    <n v="0"/>
    <n v="100"/>
    <n v="6.25E-2"/>
    <n v="4.07E-2"/>
    <n v="224.28"/>
    <n v="11961.54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2"/>
    <x v="2"/>
    <x v="1"/>
    <n v="95358"/>
    <n v="80040"/>
    <n v="269.37"/>
    <n v="4.55"/>
    <n v="3.83"/>
    <n v="12.31"/>
    <n v="0"/>
    <n v="100"/>
    <n v="6.5000000000000002E-2"/>
    <n v="0.04"/>
    <n v="181.16"/>
    <n v="10735.25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7"/>
    <x v="0"/>
    <x v="1"/>
    <n v="95309"/>
    <n v="81120"/>
    <n v="262.13"/>
    <n v="4.33"/>
    <n v="3.69"/>
    <n v="10.53"/>
    <n v="0"/>
    <n v="100"/>
    <n v="6.4799999999999996E-2"/>
    <n v="3.9199999999999999E-2"/>
    <n v="216.15"/>
    <n v="10575.9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1"/>
    <x v="3"/>
    <x v="2"/>
    <n v="94620"/>
    <n v="82469"/>
    <n v="274.68"/>
    <n v="6.93"/>
    <n v="2.33"/>
    <n v="12.45"/>
    <n v="0"/>
    <n v="100"/>
    <n v="6.2700000000000006E-2"/>
    <n v="3.8399999999999997E-2"/>
    <n v="107.95"/>
    <n v="15930.5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03"/>
    <x v="3"/>
    <x v="1"/>
    <n v="94436"/>
    <n v="79488"/>
    <n v="272.02"/>
    <n v="4.49"/>
    <n v="4.0999999999999996"/>
    <n v="12.18"/>
    <n v="0"/>
    <n v="100"/>
    <n v="6.5199999999999994E-2"/>
    <n v="3.9699999999999999E-2"/>
    <n v="218.3"/>
    <n v="14306.1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8"/>
    <x v="0"/>
    <x v="0"/>
    <n v="94225"/>
    <n v="81837"/>
    <n v="268.77"/>
    <n v="4.1100000000000003"/>
    <n v="4.92"/>
    <n v="11.49"/>
    <n v="0"/>
    <n v="100"/>
    <n v="6.4299999999999996E-2"/>
    <n v="4.0300000000000002E-2"/>
    <n v="204.42"/>
    <n v="13591.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2"/>
    <s v="P0002"/>
    <x v="2"/>
    <x v="0"/>
    <n v="94143"/>
    <n v="81381"/>
    <n v="266.43"/>
    <n v="6.2"/>
    <n v="3.28"/>
    <n v="11.08"/>
    <n v="0"/>
    <n v="100"/>
    <n v="6.3299999999999995E-2"/>
    <n v="3.9100000000000003E-2"/>
    <n v="168.89"/>
    <n v="13885.07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4"/>
    <s v="P0018"/>
    <x v="0"/>
    <x v="1"/>
    <n v="94023"/>
    <n v="80051"/>
    <n v="267.56"/>
    <n v="4.1500000000000004"/>
    <n v="3.01"/>
    <n v="12.45"/>
    <n v="0"/>
    <n v="100"/>
    <n v="6.5100000000000005E-2"/>
    <n v="4.4299999999999999E-2"/>
    <n v="114.83"/>
    <n v="11741.82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1"/>
    <s v="P0012"/>
    <x v="1"/>
    <x v="0"/>
    <n v="93854"/>
    <n v="78707"/>
    <n v="266.76"/>
    <n v="5.22"/>
    <n v="2.87"/>
    <n v="11.63"/>
    <n v="0"/>
    <n v="100"/>
    <n v="6.2799999999999995E-2"/>
    <n v="3.6200000000000003E-2"/>
    <n v="121.36"/>
    <n v="12266.59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  <r>
    <s v="S003"/>
    <s v="P0003"/>
    <x v="3"/>
    <x v="2"/>
    <n v="92556"/>
    <n v="78777"/>
    <n v="270.20999999999998"/>
    <n v="6.85"/>
    <n v="3.56"/>
    <n v="12.86"/>
    <n v="0"/>
    <n v="100"/>
    <n v="6.7400000000000002E-2"/>
    <n v="4.0399999999999998E-2"/>
    <n v="160.09"/>
    <n v="14961.71"/>
    <x v="1"/>
    <s v="Replenishment-driven"/>
    <s v="Low"/>
    <s v="Trigger Broadly Reasonable"/>
    <s v="Buffer Broadly Adequate"/>
    <s v="Continuous Daily Ordering"/>
    <s v="Medium Variability"/>
    <x v="1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404D7-7218-47E3-8F64-C2563C8F3D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8" firstHeaderRow="1" firstDataRow="3" firstDataCol="1"/>
  <pivotFields count="27">
    <pivotField showAll="0"/>
    <pivotField dataField="1" showAll="0"/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23"/>
  </rowFields>
  <rowItems count="3">
    <i>
      <x/>
    </i>
    <i>
      <x v="1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product_id" fld="1" subtotal="count" baseField="0" baseItem="0"/>
    <dataField name="Sum of primary_impact_units_proxy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B019C-30A9-44CA-A8C7-632898DF42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3" firstDataCol="1"/>
  <pivotFields count="27"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product_id" fld="1" subtotal="count" baseField="0" baseItem="0"/>
    <dataField name="Sum of total_unit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8DC2D-944B-40DA-BA05-EEF3CF53CD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C703F9-18DA-457A-AC6C-B44A19DF067E}" autoFormatId="16" applyNumberFormats="0" applyBorderFormats="0" applyFontFormats="0" applyPatternFormats="0" applyAlignmentFormats="0" applyWidthHeightFormats="0">
  <queryTableRefresh nextId="28">
    <queryTableFields count="27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total_units_ordered" tableColumnId="6"/>
      <queryTableField id="7" name="avg_inventory_level" tableColumnId="7"/>
      <queryTableField id="8" name="avg_cover_days" tableColumnId="8"/>
      <queryTableField id="9" name="low_cover_pct" tableColumnId="9"/>
      <queryTableField id="10" name="high_cover_pct" tableColumnId="10"/>
      <queryTableField id="11" name="zero_inventory_pct" tableColumnId="11"/>
      <queryTableField id="12" name="order_day_pct" tableColumnId="12"/>
      <queryTableField id="13" name="wape" tableColumnId="13"/>
      <queryTableField id="14" name="forecast_bias" tableColumnId="14"/>
      <queryTableField id="15" name="total_at_risk_units_proxy" tableColumnId="15"/>
      <queryTableField id="16" name="total_excess_units_proxy" tableColumnId="16"/>
      <queryTableField id="17" name="policy_status" tableColumnId="17"/>
      <queryTableField id="18" name="root_cause_hint" tableColumnId="18"/>
      <queryTableField id="19" name="priority_band" tableColumnId="19"/>
      <queryTableField id="20" name="reorder_behavior_assessment" tableColumnId="20"/>
      <queryTableField id="21" name="safety_stock_behavior_assessment" tableColumnId="21"/>
      <queryTableField id="22" name="lead_time_behavior_proxy" tableColumnId="22"/>
      <queryTableField id="23" name="demand_variability_band" tableColumnId="23"/>
      <queryTableField id="24" name="impact_theme" tableColumnId="24"/>
      <queryTableField id="25" name="impact_priority" tableColumnId="25"/>
      <queryTableField id="26" name="primary_impact_units_proxy" tableColumnId="26"/>
      <queryTableField id="27" name="primary_impact_vs_sales_ratio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522E2C-901E-435B-9428-3B93AE2DEF1B}" autoFormatId="16" applyNumberFormats="0" applyBorderFormats="0" applyFontFormats="0" applyPatternFormats="0" applyAlignmentFormats="0" applyWidthHeightFormats="0">
  <queryTableRefresh nextId="6">
    <queryTableFields count="5">
      <queryTableField id="1" name="category_clean" tableColumnId="1"/>
      <queryTableField id="2" name="impact_theme" tableColumnId="2"/>
      <queryTableField id="3" name="sku_store_count" tableColumnId="3"/>
      <queryTableField id="4" name="total_units_sold" tableColumnId="4"/>
      <queryTableField id="5" name="total_primary_impact_units_prox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189E15-9405-4685-B505-465B0A434A6B}" autoFormatId="16" applyNumberFormats="0" applyBorderFormats="0" applyFontFormats="0" applyPatternFormats="0" applyAlignmentFormats="0" applyWidthHeightFormats="0">
  <queryTableRefresh nextId="8">
    <queryTableFields count="7">
      <queryTableField id="1" name="impact_theme" tableColumnId="1"/>
      <queryTableField id="2" name="sku_store_count" tableColumnId="2"/>
      <queryTableField id="3" name="total_units_sold" tableColumnId="3"/>
      <queryTableField id="4" name="total_primary_impact_units_proxy" tableColumnId="4"/>
      <queryTableField id="5" name="avg_cover_days" tableColumnId="5"/>
      <queryTableField id="6" name="avg_wape" tableColumnId="6"/>
      <queryTableField id="7" name="avg_order_day_pc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560677-1D1B-445B-8CF8-CF12A715B6E2}" autoFormatId="16" applyNumberFormats="0" applyBorderFormats="0" applyFontFormats="0" applyPatternFormats="0" applyAlignmentFormats="0" applyWidthHeightFormats="0">
  <queryTableRefresh nextId="13">
    <queryTableFields count="12">
      <queryTableField id="1" name="total_sku_store_count" tableColumnId="1"/>
      <queryTableField id="2" name="total_units_sold" tableColumnId="2"/>
      <queryTableField id="3" name="excess_item_count" tableColumnId="3"/>
      <queryTableField id="4" name="units_sold_in_excess_items" tableColumnId="4"/>
      <queryTableField id="5" name="excess_units_proxy_total" tableColumnId="5"/>
      <queryTableField id="6" name="service_risk_item_count" tableColumnId="6"/>
      <queryTableField id="7" name="units_sold_in_service_risk_items" tableColumnId="7"/>
      <queryTableField id="8" name="at_risk_units_proxy_total" tableColumnId="8"/>
      <queryTableField id="9" name="operational_burden_item_count" tableColumnId="9"/>
      <queryTableField id="10" name="high_priority_item_count" tableColumnId="10"/>
      <queryTableField id="11" name="high_priority_impact_units_proxy" tableColumnId="11"/>
      <queryTableField id="12" name="sales_share_in_excess_items_pct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E4F5394-F7CD-4A9D-B970-5CDDD71350B2}" autoFormatId="16" applyNumberFormats="0" applyBorderFormats="0" applyFontFormats="0" applyPatternFormats="0" applyAlignmentFormats="0" applyWidthHeightFormats="0">
  <queryTableRefresh nextId="16">
    <queryTableFields count="15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primary_impact_units_proxy" tableColumnId="6"/>
      <queryTableField id="7" name="primary_impact_vs_sales_ratio" tableColumnId="7"/>
      <queryTableField id="8" name="avg_cover_days" tableColumnId="8"/>
      <queryTableField id="9" name="order_day_pct" tableColumnId="9"/>
      <queryTableField id="10" name="wape" tableColumnId="10"/>
      <queryTableField id="11" name="policy_status" tableColumnId="11"/>
      <queryTableField id="12" name="reorder_behavior_assessment" tableColumnId="12"/>
      <queryTableField id="13" name="lead_time_behavior_proxy" tableColumnId="13"/>
      <queryTableField id="14" name="impact_theme" tableColumnId="14"/>
      <queryTableField id="15" name="impact_priority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AE64850-B85C-41BC-8D86-FA848FBCE69A}" autoFormatId="16" applyNumberFormats="0" applyBorderFormats="0" applyFontFormats="0" applyPatternFormats="0" applyAlignmentFormats="0" applyWidthHeightFormats="0">
  <queryTableRefresh nextId="6">
    <queryTableFields count="5">
      <queryTableField id="1" name="region_clean" tableColumnId="1"/>
      <queryTableField id="2" name="impact_theme" tableColumnId="2"/>
      <queryTableField id="3" name="sku_store_count" tableColumnId="3"/>
      <queryTableField id="4" name="total_units_sold" tableColumnId="4"/>
      <queryTableField id="5" name="total_primary_impact_units_prox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8DF5B-5768-415D-91A1-C4FBE19A16E8}" name="SQL_Business_Impact_Master" displayName="SQL_Business_Impact_Master" ref="A1:AA101" tableType="queryTable" totalsRowShown="0">
  <autoFilter ref="A1:AA101" xr:uid="{FB28DF5B-5768-415D-91A1-C4FBE19A16E8}"/>
  <tableColumns count="27">
    <tableColumn id="1" xr3:uid="{8C9FBBB3-FB50-42CE-97AC-34613558620F}" uniqueName="1" name="store_id" queryTableFieldId="1" dataDxfId="26"/>
    <tableColumn id="2" xr3:uid="{83C4D48A-B0E4-4129-BCC3-004FBE7C964D}" uniqueName="2" name="product_id" queryTableFieldId="2" dataDxfId="25"/>
    <tableColumn id="3" xr3:uid="{20191F80-8FD5-43B4-9784-A6C07CAE330E}" uniqueName="3" name="category_clean" queryTableFieldId="3" dataDxfId="24"/>
    <tableColumn id="4" xr3:uid="{A0648584-4958-47D3-84A1-B4CAE2E2DEC7}" uniqueName="4" name="region_clean" queryTableFieldId="4" dataDxfId="23"/>
    <tableColumn id="5" xr3:uid="{AF957907-E56C-4E55-A2A2-2FBAE4ED0D26}" uniqueName="5" name="total_units_sold" queryTableFieldId="5"/>
    <tableColumn id="6" xr3:uid="{1D9C9332-5151-4DF4-ABAD-9B9B15FE5F64}" uniqueName="6" name="total_units_ordered" queryTableFieldId="6"/>
    <tableColumn id="7" xr3:uid="{9FDE7B1C-71A6-472D-AFF0-86C5B94C1038}" uniqueName="7" name="avg_inventory_level" queryTableFieldId="7"/>
    <tableColumn id="8" xr3:uid="{C438764F-95F8-47A1-8BFF-416ED166856A}" uniqueName="8" name="avg_cover_days" queryTableFieldId="8"/>
    <tableColumn id="9" xr3:uid="{CF3EC3A5-D59F-47BA-B8FD-0832CC1EF81F}" uniqueName="9" name="low_cover_pct" queryTableFieldId="9"/>
    <tableColumn id="10" xr3:uid="{7247B269-40A0-4C75-81B2-E05763B6AE14}" uniqueName="10" name="high_cover_pct" queryTableFieldId="10"/>
    <tableColumn id="11" xr3:uid="{4ECDE748-FE79-40DA-8314-57C9DB92FC9E}" uniqueName="11" name="zero_inventory_pct" queryTableFieldId="11"/>
    <tableColumn id="12" xr3:uid="{5AD0B530-7B71-4B74-ADC6-4E3B8C59BE90}" uniqueName="12" name="order_day_pct" queryTableFieldId="12"/>
    <tableColumn id="13" xr3:uid="{6B57C215-3D65-41EE-B7B0-BBF59D0FDA1D}" uniqueName="13" name="wape" queryTableFieldId="13"/>
    <tableColumn id="14" xr3:uid="{3B700E1A-F1CA-45F8-8DAB-C65FC8D1C9EB}" uniqueName="14" name="forecast_bias" queryTableFieldId="14"/>
    <tableColumn id="15" xr3:uid="{B9636E58-6865-45A8-89A3-87DD42D07399}" uniqueName="15" name="total_at_risk_units_proxy" queryTableFieldId="15"/>
    <tableColumn id="16" xr3:uid="{DAA4184D-E801-4DA9-8CDB-00F2DE531B21}" uniqueName="16" name="total_excess_units_proxy" queryTableFieldId="16"/>
    <tableColumn id="17" xr3:uid="{7E3E894A-8F75-4B19-B07E-2669C273DC14}" uniqueName="17" name="policy_status" queryTableFieldId="17" dataDxfId="22"/>
    <tableColumn id="18" xr3:uid="{456349EF-F9AD-427F-BE52-0F276E104B5B}" uniqueName="18" name="root_cause_hint" queryTableFieldId="18" dataDxfId="21"/>
    <tableColumn id="19" xr3:uid="{D7FE46E9-755C-4086-812C-5BF4E423FE86}" uniqueName="19" name="priority_band" queryTableFieldId="19" dataDxfId="20"/>
    <tableColumn id="20" xr3:uid="{7EE574F4-5F3C-43A4-BDD7-5607206C77A8}" uniqueName="20" name="reorder_behavior_assessment" queryTableFieldId="20" dataDxfId="19"/>
    <tableColumn id="21" xr3:uid="{E58B183A-247E-48DD-B0B4-FF4B70359128}" uniqueName="21" name="safety_stock_behavior_assessment" queryTableFieldId="21" dataDxfId="18"/>
    <tableColumn id="22" xr3:uid="{5D193B9C-C74F-4C19-8280-C8001ABFFDB6}" uniqueName="22" name="lead_time_behavior_proxy" queryTableFieldId="22" dataDxfId="17"/>
    <tableColumn id="23" xr3:uid="{210B0F09-C4B9-425E-8A50-7F7A4E34F404}" uniqueName="23" name="demand_variability_band" queryTableFieldId="23" dataDxfId="16"/>
    <tableColumn id="24" xr3:uid="{15E4A595-ADEB-47F1-99A4-B2494B1B8542}" uniqueName="24" name="impact_theme" queryTableFieldId="24" dataDxfId="15"/>
    <tableColumn id="25" xr3:uid="{A6B9490E-1201-4040-B63C-232A92678DF0}" uniqueName="25" name="impact_priority" queryTableFieldId="25" dataDxfId="14"/>
    <tableColumn id="26" xr3:uid="{3D4FC891-9253-4E74-952A-5312E89014E8}" uniqueName="26" name="primary_impact_units_proxy" queryTableFieldId="26"/>
    <tableColumn id="27" xr3:uid="{EC784DC3-1F61-4097-A7BD-592289400700}" uniqueName="27" name="primary_impact_vs_sales_ratio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944DFB-3382-476E-B865-CF664A9FC6DA}" name="SQL_Category_Impact_Summary" displayName="SQL_Category_Impact_Summary" ref="A1:E11" tableType="queryTable" totalsRowShown="0">
  <autoFilter ref="A1:E11" xr:uid="{6C944DFB-3382-476E-B865-CF664A9FC6DA}"/>
  <tableColumns count="5">
    <tableColumn id="1" xr3:uid="{63F80A84-92DE-4066-8AE4-606CB67DF596}" uniqueName="1" name="category_clean" queryTableFieldId="1" dataDxfId="13"/>
    <tableColumn id="2" xr3:uid="{A6489ED9-9916-4110-9F00-C95A9F146FE0}" uniqueName="2" name="impact_theme" queryTableFieldId="2" dataDxfId="12"/>
    <tableColumn id="3" xr3:uid="{1961B8D5-74CF-4D28-A575-4BFACAD61D77}" uniqueName="3" name="sku_store_count" queryTableFieldId="3"/>
    <tableColumn id="4" xr3:uid="{97395C81-5256-445D-802C-9B945C9FC2DB}" uniqueName="4" name="total_units_sold" queryTableFieldId="4"/>
    <tableColumn id="5" xr3:uid="{0D230A11-D5AA-443A-B992-56C77927E1F3}" uniqueName="5" name="total_primary_impact_units_prox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82B14-5C36-49F7-B4C5-837A8FB0503F}" name="SQL_Impact_Theme_Summary" displayName="SQL_Impact_Theme_Summary" ref="A1:G3" tableType="queryTable" totalsRowShown="0">
  <autoFilter ref="A1:G3" xr:uid="{8AF82B14-5C36-49F7-B4C5-837A8FB0503F}"/>
  <tableColumns count="7">
    <tableColumn id="1" xr3:uid="{00DE0B2B-4BB4-485B-A156-5E2554E5D533}" uniqueName="1" name="impact_theme" queryTableFieldId="1" dataDxfId="11"/>
    <tableColumn id="2" xr3:uid="{8782D00F-084E-431F-8BFB-7E78203A742B}" uniqueName="2" name="sku_store_count" queryTableFieldId="2"/>
    <tableColumn id="3" xr3:uid="{5EE575F1-B9E7-49DC-830D-3FA6B1754C24}" uniqueName="3" name="total_units_sold" queryTableFieldId="3"/>
    <tableColumn id="4" xr3:uid="{F105F4A7-CB69-4C79-9EBB-54D33BF5CF5C}" uniqueName="4" name="total_primary_impact_units_proxy" queryTableFieldId="4"/>
    <tableColumn id="5" xr3:uid="{84F22398-2774-48C3-8BA1-DBE477655C11}" uniqueName="5" name="avg_cover_days" queryTableFieldId="5"/>
    <tableColumn id="6" xr3:uid="{546BCAE7-E794-4C98-8088-0A62F79EED92}" uniqueName="6" name="avg_wape" queryTableFieldId="6"/>
    <tableColumn id="7" xr3:uid="{0F10C5AF-414D-42A5-9B6A-005BB6EBC122}" uniqueName="7" name="avg_order_day_pc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44604-F8CB-4016-ABE4-E0E7A190F8E5}" name="SQL_Overall_Impact_Summary" displayName="SQL_Overall_Impact_Summary" ref="A1:L2" tableType="queryTable" totalsRowShown="0">
  <autoFilter ref="A1:L2" xr:uid="{3AA44604-F8CB-4016-ABE4-E0E7A190F8E5}"/>
  <tableColumns count="12">
    <tableColumn id="1" xr3:uid="{8F5DB8C5-EF8D-4FDC-AE3C-5CD1D54E00EC}" uniqueName="1" name="total_sku_store_count" queryTableFieldId="1"/>
    <tableColumn id="2" xr3:uid="{D0D616AC-4147-4398-9422-1E6F57CB6A74}" uniqueName="2" name="total_units_sold" queryTableFieldId="2"/>
    <tableColumn id="3" xr3:uid="{B3B8359A-C334-4B85-ACF1-C45E72C2C2B8}" uniqueName="3" name="excess_item_count" queryTableFieldId="3"/>
    <tableColumn id="4" xr3:uid="{41D2A4AE-CBF9-4B77-9E30-E8DE9620D8F0}" uniqueName="4" name="units_sold_in_excess_items" queryTableFieldId="4"/>
    <tableColumn id="5" xr3:uid="{23DD4DD0-340B-43F0-A59E-7AF5DA0217B8}" uniqueName="5" name="excess_units_proxy_total" queryTableFieldId="5"/>
    <tableColumn id="6" xr3:uid="{4F61FAC3-E052-4B10-B50B-B9BBA0082541}" uniqueName="6" name="service_risk_item_count" queryTableFieldId="6"/>
    <tableColumn id="7" xr3:uid="{CD3DE9EF-3024-4764-A146-59C3D40B231B}" uniqueName="7" name="units_sold_in_service_risk_items" queryTableFieldId="7"/>
    <tableColumn id="8" xr3:uid="{24C13964-35C1-4251-9E6D-FC3EAF9FD82A}" uniqueName="8" name="at_risk_units_proxy_total" queryTableFieldId="8"/>
    <tableColumn id="9" xr3:uid="{73EB2929-0CB7-4A56-BEFE-63677136FD34}" uniqueName="9" name="operational_burden_item_count" queryTableFieldId="9"/>
    <tableColumn id="10" xr3:uid="{5FB7C988-0F8D-46C2-9EEC-F8CA2A022694}" uniqueName="10" name="high_priority_item_count" queryTableFieldId="10"/>
    <tableColumn id="11" xr3:uid="{C250ECA5-FF7E-4879-8CF5-4E019FC408D1}" uniqueName="11" name="high_priority_impact_units_proxy" queryTableFieldId="11"/>
    <tableColumn id="12" xr3:uid="{CE4922E8-5D8B-4E93-BDBB-37ABE9A060B7}" uniqueName="12" name="sales_share_in_excess_items_pct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A74412-C96A-4621-BDFA-B6C9FEBCC5D3}" name="SQL_Top_Impact_Items" displayName="SQL_Top_Impact_Items" ref="A1:O101" tableType="queryTable" totalsRowShown="0">
  <autoFilter ref="A1:O101" xr:uid="{95A74412-C96A-4621-BDFA-B6C9FEBCC5D3}"/>
  <tableColumns count="15">
    <tableColumn id="1" xr3:uid="{3A863168-1295-49B7-9FE8-B19521E6199C}" uniqueName="1" name="store_id" queryTableFieldId="1" dataDxfId="10"/>
    <tableColumn id="2" xr3:uid="{7AC6CF87-C735-4A6F-97C1-5EB90CA29544}" uniqueName="2" name="product_id" queryTableFieldId="2" dataDxfId="9"/>
    <tableColumn id="3" xr3:uid="{82EB1D61-0140-490A-B33A-FD6E7A500523}" uniqueName="3" name="category_clean" queryTableFieldId="3" dataDxfId="8"/>
    <tableColumn id="4" xr3:uid="{FF7E9C94-3880-4618-8902-D30F3B010059}" uniqueName="4" name="region_clean" queryTableFieldId="4" dataDxfId="7"/>
    <tableColumn id="5" xr3:uid="{83905157-AC3E-4F66-BBFF-BB46D912894A}" uniqueName="5" name="total_units_sold" queryTableFieldId="5"/>
    <tableColumn id="6" xr3:uid="{BF434E95-2232-4950-81C1-AE6CEBBB39F5}" uniqueName="6" name="primary_impact_units_proxy" queryTableFieldId="6"/>
    <tableColumn id="7" xr3:uid="{0F0EA568-6956-47C7-B504-1470377D247C}" uniqueName="7" name="primary_impact_vs_sales_ratio" queryTableFieldId="7"/>
    <tableColumn id="8" xr3:uid="{CA814196-C598-4469-BEDA-22D3D811CCC4}" uniqueName="8" name="avg_cover_days" queryTableFieldId="8"/>
    <tableColumn id="9" xr3:uid="{73E1C938-41A5-4353-B2E0-0C2070704425}" uniqueName="9" name="order_day_pct" queryTableFieldId="9"/>
    <tableColumn id="10" xr3:uid="{ABA92A9A-D3BF-4B94-A921-1FF6AC6E1327}" uniqueName="10" name="wape" queryTableFieldId="10"/>
    <tableColumn id="11" xr3:uid="{91E4CC3A-86B2-4786-87A2-7DE2F3A1DC9B}" uniqueName="11" name="policy_status" queryTableFieldId="11" dataDxfId="6"/>
    <tableColumn id="12" xr3:uid="{F0DB64DB-2A9A-4E26-8CC1-02CF832248CC}" uniqueName="12" name="reorder_behavior_assessment" queryTableFieldId="12" dataDxfId="5"/>
    <tableColumn id="13" xr3:uid="{C9272DB4-023B-4E04-B6BB-F405288605EE}" uniqueName="13" name="lead_time_behavior_proxy" queryTableFieldId="13" dataDxfId="4"/>
    <tableColumn id="14" xr3:uid="{8EAB17EF-234C-4ABD-9572-E21D803BC7D9}" uniqueName="14" name="impact_theme" queryTableFieldId="14" dataDxfId="3"/>
    <tableColumn id="15" xr3:uid="{961C51C0-4B79-473F-979A-3B7E31A647D7}" uniqueName="15" name="impact_priority" queryTableFieldId="15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C1941D-9B29-4B5A-A899-DAC7A6B7205C}" name="SQL_Region_Impact_Summary" displayName="SQL_Region_Impact_Summary" ref="A1:E7" tableType="queryTable" totalsRowShown="0">
  <autoFilter ref="A1:E7" xr:uid="{42C1941D-9B29-4B5A-A899-DAC7A6B7205C}"/>
  <tableColumns count="5">
    <tableColumn id="1" xr3:uid="{2FA7AEAB-498E-44D3-8B37-7276AAF9984C}" uniqueName="1" name="region_clean" queryTableFieldId="1" dataDxfId="1"/>
    <tableColumn id="2" xr3:uid="{DF082EDF-020C-45F9-86A8-187B9C1AF3DD}" uniqueName="2" name="impact_theme" queryTableFieldId="2" dataDxfId="0"/>
    <tableColumn id="3" xr3:uid="{AA1F6076-68AF-46A3-86F3-33D2E71A0C3D}" uniqueName="3" name="sku_store_count" queryTableFieldId="3"/>
    <tableColumn id="4" xr3:uid="{2C9509D2-5347-46F8-93AC-7B6CE1AF748C}" uniqueName="4" name="total_units_sold" queryTableFieldId="4"/>
    <tableColumn id="5" xr3:uid="{3912523E-ABB0-456B-9AAA-AC1710939A73}" uniqueName="5" name="total_primary_impact_units_prox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6000-06AA-44BB-8330-9817C9E62CAB}">
  <dimension ref="A3:M8"/>
  <sheetViews>
    <sheetView workbookViewId="0">
      <selection activeCell="A3" sqref="A3"/>
    </sheetView>
  </sheetViews>
  <sheetFormatPr defaultRowHeight="14.4" x14ac:dyDescent="0.3"/>
  <cols>
    <col min="1" max="1" width="21.109375" bestFit="1" customWidth="1"/>
    <col min="2" max="2" width="18.21875" bestFit="1" customWidth="1"/>
    <col min="3" max="3" width="32.21875" bestFit="1" customWidth="1"/>
    <col min="4" max="4" width="18.21875" bestFit="1" customWidth="1"/>
    <col min="5" max="5" width="32.21875" bestFit="1" customWidth="1"/>
    <col min="6" max="6" width="18.21875" bestFit="1" customWidth="1"/>
    <col min="7" max="7" width="32.21875" bestFit="1" customWidth="1"/>
    <col min="8" max="8" width="18.21875" bestFit="1" customWidth="1"/>
    <col min="9" max="9" width="32.21875" bestFit="1" customWidth="1"/>
    <col min="10" max="10" width="18.21875" bestFit="1" customWidth="1"/>
    <col min="11" max="11" width="32.21875" bestFit="1" customWidth="1"/>
    <col min="12" max="12" width="23" bestFit="1" customWidth="1"/>
    <col min="13" max="13" width="37" bestFit="1" customWidth="1"/>
  </cols>
  <sheetData>
    <row r="3" spans="1:13" x14ac:dyDescent="0.3">
      <c r="B3" s="1" t="s">
        <v>90</v>
      </c>
    </row>
    <row r="4" spans="1:13" x14ac:dyDescent="0.3">
      <c r="B4" t="s">
        <v>40</v>
      </c>
      <c r="D4" t="s">
        <v>29</v>
      </c>
      <c r="F4" t="s">
        <v>43</v>
      </c>
      <c r="H4" t="s">
        <v>46</v>
      </c>
      <c r="J4" t="s">
        <v>53</v>
      </c>
      <c r="L4" t="s">
        <v>92</v>
      </c>
      <c r="M4" t="s">
        <v>93</v>
      </c>
    </row>
    <row r="5" spans="1:13" x14ac:dyDescent="0.3">
      <c r="A5" s="1" t="s">
        <v>88</v>
      </c>
      <c r="B5" t="s">
        <v>91</v>
      </c>
      <c r="C5" t="s">
        <v>94</v>
      </c>
      <c r="D5" t="s">
        <v>91</v>
      </c>
      <c r="E5" t="s">
        <v>94</v>
      </c>
      <c r="F5" t="s">
        <v>91</v>
      </c>
      <c r="G5" t="s">
        <v>94</v>
      </c>
      <c r="H5" t="s">
        <v>91</v>
      </c>
      <c r="I5" t="s">
        <v>94</v>
      </c>
      <c r="J5" t="s">
        <v>91</v>
      </c>
      <c r="K5" t="s">
        <v>94</v>
      </c>
    </row>
    <row r="6" spans="1:13" x14ac:dyDescent="0.3">
      <c r="A6" s="2" t="s">
        <v>38</v>
      </c>
      <c r="B6">
        <v>4</v>
      </c>
      <c r="C6">
        <v>49966.100000000006</v>
      </c>
      <c r="D6">
        <v>3</v>
      </c>
      <c r="E6">
        <v>38703.25</v>
      </c>
      <c r="F6">
        <v>4</v>
      </c>
      <c r="G6">
        <v>47285.34</v>
      </c>
      <c r="H6">
        <v>9</v>
      </c>
      <c r="I6">
        <v>107233.65999999999</v>
      </c>
      <c r="J6">
        <v>3</v>
      </c>
      <c r="K6">
        <v>37918.129999999997</v>
      </c>
      <c r="L6">
        <v>23</v>
      </c>
      <c r="M6">
        <v>281106.48000000004</v>
      </c>
    </row>
    <row r="7" spans="1:13" x14ac:dyDescent="0.3">
      <c r="A7" s="2" t="s">
        <v>68</v>
      </c>
      <c r="B7">
        <v>11</v>
      </c>
      <c r="C7">
        <v>0</v>
      </c>
      <c r="D7">
        <v>22</v>
      </c>
      <c r="E7">
        <v>0</v>
      </c>
      <c r="F7">
        <v>11</v>
      </c>
      <c r="G7">
        <v>0</v>
      </c>
      <c r="H7">
        <v>21</v>
      </c>
      <c r="I7">
        <v>0</v>
      </c>
      <c r="J7">
        <v>12</v>
      </c>
      <c r="K7">
        <v>0</v>
      </c>
      <c r="L7">
        <v>77</v>
      </c>
      <c r="M7">
        <v>0</v>
      </c>
    </row>
    <row r="8" spans="1:13" x14ac:dyDescent="0.3">
      <c r="A8" s="2" t="s">
        <v>89</v>
      </c>
      <c r="B8">
        <v>15</v>
      </c>
      <c r="C8">
        <v>49966.100000000006</v>
      </c>
      <c r="D8">
        <v>25</v>
      </c>
      <c r="E8">
        <v>38703.25</v>
      </c>
      <c r="F8">
        <v>15</v>
      </c>
      <c r="G8">
        <v>47285.34</v>
      </c>
      <c r="H8">
        <v>30</v>
      </c>
      <c r="I8">
        <v>107233.65999999999</v>
      </c>
      <c r="J8">
        <v>15</v>
      </c>
      <c r="K8">
        <v>37918.129999999997</v>
      </c>
      <c r="L8">
        <v>100</v>
      </c>
      <c r="M8">
        <v>281106.48000000004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9F2D-BA1C-4D51-B9AC-38C9DF038F49}">
  <dimension ref="A3:I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21875" bestFit="1" customWidth="1"/>
    <col min="3" max="3" width="21.109375" bestFit="1" customWidth="1"/>
    <col min="4" max="4" width="18.21875" bestFit="1" customWidth="1"/>
    <col min="5" max="5" width="21.109375" bestFit="1" customWidth="1"/>
    <col min="6" max="6" width="18.21875" bestFit="1" customWidth="1"/>
    <col min="7" max="7" width="21.109375" bestFit="1" customWidth="1"/>
    <col min="8" max="8" width="23" bestFit="1" customWidth="1"/>
    <col min="9" max="9" width="26" bestFit="1" customWidth="1"/>
  </cols>
  <sheetData>
    <row r="3" spans="1:9" x14ac:dyDescent="0.3">
      <c r="B3" s="1" t="s">
        <v>90</v>
      </c>
    </row>
    <row r="4" spans="1:9" x14ac:dyDescent="0.3">
      <c r="B4" t="s">
        <v>30</v>
      </c>
      <c r="D4" t="s">
        <v>57</v>
      </c>
      <c r="F4" t="s">
        <v>54</v>
      </c>
      <c r="H4" t="s">
        <v>92</v>
      </c>
      <c r="I4" t="s">
        <v>95</v>
      </c>
    </row>
    <row r="5" spans="1:9" x14ac:dyDescent="0.3">
      <c r="A5" s="1" t="s">
        <v>88</v>
      </c>
      <c r="B5" t="s">
        <v>91</v>
      </c>
      <c r="C5" t="s">
        <v>96</v>
      </c>
      <c r="D5" t="s">
        <v>91</v>
      </c>
      <c r="E5" t="s">
        <v>96</v>
      </c>
      <c r="F5" t="s">
        <v>91</v>
      </c>
      <c r="G5" t="s">
        <v>96</v>
      </c>
    </row>
    <row r="6" spans="1:9" x14ac:dyDescent="0.3">
      <c r="A6" s="2" t="s">
        <v>33</v>
      </c>
      <c r="B6">
        <v>14</v>
      </c>
      <c r="C6">
        <v>1377806</v>
      </c>
      <c r="D6">
        <v>4</v>
      </c>
      <c r="E6">
        <v>413323</v>
      </c>
      <c r="F6">
        <v>3</v>
      </c>
      <c r="G6">
        <v>294471</v>
      </c>
      <c r="H6">
        <v>21</v>
      </c>
      <c r="I6">
        <v>2085600</v>
      </c>
    </row>
    <row r="7" spans="1:9" x14ac:dyDescent="0.3">
      <c r="A7" s="2" t="s">
        <v>63</v>
      </c>
      <c r="B7">
        <v>46</v>
      </c>
      <c r="C7">
        <v>4595835</v>
      </c>
      <c r="D7">
        <v>16</v>
      </c>
      <c r="E7">
        <v>1609373</v>
      </c>
      <c r="F7">
        <v>17</v>
      </c>
      <c r="G7">
        <v>1684774</v>
      </c>
      <c r="H7">
        <v>79</v>
      </c>
      <c r="I7">
        <v>7889982</v>
      </c>
    </row>
    <row r="8" spans="1:9" x14ac:dyDescent="0.3">
      <c r="A8" s="2" t="s">
        <v>89</v>
      </c>
      <c r="B8">
        <v>60</v>
      </c>
      <c r="C8">
        <v>5973641</v>
      </c>
      <c r="D8">
        <v>20</v>
      </c>
      <c r="E8">
        <v>2022696</v>
      </c>
      <c r="F8">
        <v>20</v>
      </c>
      <c r="G8">
        <v>1979245</v>
      </c>
      <c r="H8">
        <v>100</v>
      </c>
      <c r="I8">
        <v>9975582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1212-935E-457F-9FCE-77D41F09CC95}">
  <dimension ref="A3:D7"/>
  <sheetViews>
    <sheetView workbookViewId="0">
      <selection activeCell="G14" sqref="G14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6.21875" bestFit="1" customWidth="1"/>
    <col min="4" max="4" width="10.77734375" bestFit="1" customWidth="1"/>
  </cols>
  <sheetData>
    <row r="3" spans="1:4" x14ac:dyDescent="0.3">
      <c r="A3" s="1" t="s">
        <v>91</v>
      </c>
      <c r="B3" s="1" t="s">
        <v>90</v>
      </c>
    </row>
    <row r="4" spans="1:4" x14ac:dyDescent="0.3">
      <c r="A4" s="1" t="s">
        <v>88</v>
      </c>
      <c r="B4" t="s">
        <v>31</v>
      </c>
      <c r="C4" t="s">
        <v>65</v>
      </c>
      <c r="D4" t="s">
        <v>89</v>
      </c>
    </row>
    <row r="5" spans="1:4" x14ac:dyDescent="0.3">
      <c r="A5" s="2" t="s">
        <v>38</v>
      </c>
      <c r="B5">
        <v>23</v>
      </c>
      <c r="D5">
        <v>23</v>
      </c>
    </row>
    <row r="6" spans="1:4" x14ac:dyDescent="0.3">
      <c r="A6" s="2" t="s">
        <v>68</v>
      </c>
      <c r="C6">
        <v>77</v>
      </c>
      <c r="D6">
        <v>77</v>
      </c>
    </row>
    <row r="7" spans="1:4" x14ac:dyDescent="0.3">
      <c r="A7" s="2" t="s">
        <v>89</v>
      </c>
      <c r="B7">
        <v>23</v>
      </c>
      <c r="C7">
        <v>77</v>
      </c>
      <c r="D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F801-0804-4A94-9C84-071C7B3BFA91}">
  <dimension ref="A1:AA101"/>
  <sheetViews>
    <sheetView topLeftCell="A2" workbookViewId="0">
      <selection activeCell="E18" sqref="E18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0.109375" bestFit="1" customWidth="1"/>
    <col min="7" max="7" width="20.44140625" bestFit="1" customWidth="1"/>
    <col min="8" max="8" width="16.88671875" bestFit="1" customWidth="1"/>
    <col min="9" max="9" width="15.6640625" bestFit="1" customWidth="1"/>
    <col min="10" max="10" width="16.33203125" bestFit="1" customWidth="1"/>
    <col min="11" max="11" width="19.77734375" bestFit="1" customWidth="1"/>
    <col min="12" max="12" width="15.6640625" bestFit="1" customWidth="1"/>
    <col min="13" max="13" width="7.77734375" bestFit="1" customWidth="1"/>
    <col min="14" max="14" width="14.33203125" bestFit="1" customWidth="1"/>
    <col min="15" max="15" width="24.88671875" bestFit="1" customWidth="1"/>
    <col min="16" max="16" width="24.6640625" bestFit="1" customWidth="1"/>
    <col min="17" max="17" width="14.21875" bestFit="1" customWidth="1"/>
    <col min="18" max="18" width="18.88671875" bestFit="1" customWidth="1"/>
    <col min="19" max="19" width="14.6640625" bestFit="1" customWidth="1"/>
    <col min="20" max="20" width="28.88671875" bestFit="1" customWidth="1"/>
    <col min="21" max="21" width="33.33203125" bestFit="1" customWidth="1"/>
    <col min="22" max="22" width="26.109375" bestFit="1" customWidth="1"/>
    <col min="23" max="23" width="25.109375" bestFit="1" customWidth="1"/>
    <col min="24" max="24" width="21.109375" bestFit="1" customWidth="1"/>
    <col min="25" max="25" width="16.21875" bestFit="1" customWidth="1"/>
    <col min="26" max="26" width="27.88671875" bestFit="1" customWidth="1"/>
    <col min="27" max="27" width="29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>
        <v>99824</v>
      </c>
      <c r="F2">
        <v>81584</v>
      </c>
      <c r="G2">
        <v>279.14</v>
      </c>
      <c r="H2">
        <v>20.12</v>
      </c>
      <c r="I2">
        <v>3.15</v>
      </c>
      <c r="J2">
        <v>12.31</v>
      </c>
      <c r="K2">
        <v>0</v>
      </c>
      <c r="L2">
        <v>100</v>
      </c>
      <c r="M2">
        <v>6.0699999999999997E-2</v>
      </c>
      <c r="N2">
        <v>3.5400000000000001E-2</v>
      </c>
      <c r="O2">
        <v>199.55</v>
      </c>
      <c r="P2">
        <v>14282.47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33</v>
      </c>
      <c r="Z2">
        <v>14282.47</v>
      </c>
      <c r="AA2">
        <v>0.14307651466581184</v>
      </c>
    </row>
    <row r="3" spans="1:27" x14ac:dyDescent="0.3">
      <c r="A3" t="s">
        <v>27</v>
      </c>
      <c r="B3" t="s">
        <v>39</v>
      </c>
      <c r="C3" t="s">
        <v>40</v>
      </c>
      <c r="D3" t="s">
        <v>30</v>
      </c>
      <c r="E3">
        <v>100358</v>
      </c>
      <c r="F3">
        <v>81106</v>
      </c>
      <c r="G3">
        <v>282.60000000000002</v>
      </c>
      <c r="H3">
        <v>8.34</v>
      </c>
      <c r="I3">
        <v>3.15</v>
      </c>
      <c r="J3">
        <v>13.41</v>
      </c>
      <c r="K3">
        <v>0</v>
      </c>
      <c r="L3">
        <v>100</v>
      </c>
      <c r="M3">
        <v>5.8500000000000003E-2</v>
      </c>
      <c r="N3">
        <v>3.6900000000000002E-2</v>
      </c>
      <c r="O3">
        <v>152.78</v>
      </c>
      <c r="P3">
        <v>13528.13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  <c r="Y3" t="s">
        <v>33</v>
      </c>
      <c r="Z3">
        <v>13528.13</v>
      </c>
      <c r="AA3">
        <v>0.13479872058032244</v>
      </c>
    </row>
    <row r="4" spans="1:27" x14ac:dyDescent="0.3">
      <c r="A4" t="s">
        <v>41</v>
      </c>
      <c r="B4" t="s">
        <v>42</v>
      </c>
      <c r="C4" t="s">
        <v>43</v>
      </c>
      <c r="D4" t="s">
        <v>30</v>
      </c>
      <c r="E4">
        <v>96080</v>
      </c>
      <c r="F4">
        <v>78729</v>
      </c>
      <c r="G4">
        <v>270.52999999999997</v>
      </c>
      <c r="H4">
        <v>8.11</v>
      </c>
      <c r="I4">
        <v>3.56</v>
      </c>
      <c r="J4">
        <v>12.04</v>
      </c>
      <c r="K4">
        <v>0</v>
      </c>
      <c r="L4">
        <v>100</v>
      </c>
      <c r="M4">
        <v>6.2199999999999998E-2</v>
      </c>
      <c r="N4">
        <v>3.78E-2</v>
      </c>
      <c r="O4">
        <v>162.49</v>
      </c>
      <c r="P4">
        <v>13504.75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33</v>
      </c>
      <c r="Z4">
        <v>13504.75</v>
      </c>
      <c r="AA4">
        <v>0.14055734804329725</v>
      </c>
    </row>
    <row r="5" spans="1:27" x14ac:dyDescent="0.3">
      <c r="A5" t="s">
        <v>44</v>
      </c>
      <c r="B5" t="s">
        <v>45</v>
      </c>
      <c r="C5" t="s">
        <v>46</v>
      </c>
      <c r="D5" t="s">
        <v>30</v>
      </c>
      <c r="E5">
        <v>97227</v>
      </c>
      <c r="F5">
        <v>79353</v>
      </c>
      <c r="G5">
        <v>273.89999999999998</v>
      </c>
      <c r="H5">
        <v>7.75</v>
      </c>
      <c r="I5">
        <v>2.6</v>
      </c>
      <c r="J5">
        <v>13.68</v>
      </c>
      <c r="K5">
        <v>0</v>
      </c>
      <c r="L5">
        <v>100</v>
      </c>
      <c r="M5">
        <v>6.3100000000000003E-2</v>
      </c>
      <c r="N5">
        <v>3.9199999999999999E-2</v>
      </c>
      <c r="O5">
        <v>87.25</v>
      </c>
      <c r="P5">
        <v>13377.17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33</v>
      </c>
      <c r="Z5">
        <v>13377.17</v>
      </c>
      <c r="AA5">
        <v>0.13758698715377415</v>
      </c>
    </row>
    <row r="6" spans="1:27" x14ac:dyDescent="0.3">
      <c r="A6" t="s">
        <v>27</v>
      </c>
      <c r="B6" t="s">
        <v>47</v>
      </c>
      <c r="C6" t="s">
        <v>40</v>
      </c>
      <c r="D6" t="s">
        <v>30</v>
      </c>
      <c r="E6">
        <v>98432</v>
      </c>
      <c r="F6">
        <v>82216</v>
      </c>
      <c r="G6">
        <v>278.64</v>
      </c>
      <c r="H6">
        <v>17.079999999999998</v>
      </c>
      <c r="I6">
        <v>3.83</v>
      </c>
      <c r="J6">
        <v>11.35</v>
      </c>
      <c r="K6">
        <v>0</v>
      </c>
      <c r="L6">
        <v>100</v>
      </c>
      <c r="M6">
        <v>6.3500000000000001E-2</v>
      </c>
      <c r="N6">
        <v>4.2000000000000003E-2</v>
      </c>
      <c r="O6">
        <v>166.38</v>
      </c>
      <c r="P6">
        <v>13320.66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 t="s">
        <v>38</v>
      </c>
      <c r="Y6" t="s">
        <v>33</v>
      </c>
      <c r="Z6">
        <v>13320.66</v>
      </c>
      <c r="AA6">
        <v>0.13532855169050714</v>
      </c>
    </row>
    <row r="7" spans="1:27" x14ac:dyDescent="0.3">
      <c r="A7" t="s">
        <v>41</v>
      </c>
      <c r="B7" t="s">
        <v>48</v>
      </c>
      <c r="C7" t="s">
        <v>46</v>
      </c>
      <c r="D7" t="s">
        <v>30</v>
      </c>
      <c r="E7">
        <v>97318</v>
      </c>
      <c r="F7">
        <v>79525</v>
      </c>
      <c r="G7">
        <v>269.33</v>
      </c>
      <c r="H7">
        <v>13.49</v>
      </c>
      <c r="I7">
        <v>3.15</v>
      </c>
      <c r="J7">
        <v>10.4</v>
      </c>
      <c r="K7">
        <v>0</v>
      </c>
      <c r="L7">
        <v>100</v>
      </c>
      <c r="M7">
        <v>6.5500000000000003E-2</v>
      </c>
      <c r="N7">
        <v>3.8699999999999998E-2</v>
      </c>
      <c r="O7">
        <v>148.79</v>
      </c>
      <c r="P7">
        <v>13259.79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 t="s">
        <v>38</v>
      </c>
      <c r="Y7" t="s">
        <v>33</v>
      </c>
      <c r="Z7">
        <v>13259.79</v>
      </c>
      <c r="AA7">
        <v>0.13625218356316407</v>
      </c>
    </row>
    <row r="8" spans="1:27" x14ac:dyDescent="0.3">
      <c r="A8" t="s">
        <v>41</v>
      </c>
      <c r="B8" t="s">
        <v>49</v>
      </c>
      <c r="C8" t="s">
        <v>29</v>
      </c>
      <c r="D8" t="s">
        <v>30</v>
      </c>
      <c r="E8">
        <v>100244</v>
      </c>
      <c r="F8">
        <v>80051</v>
      </c>
      <c r="G8">
        <v>269.92</v>
      </c>
      <c r="H8">
        <v>14.16</v>
      </c>
      <c r="I8">
        <v>3.15</v>
      </c>
      <c r="J8">
        <v>11.22</v>
      </c>
      <c r="K8">
        <v>0</v>
      </c>
      <c r="L8">
        <v>100</v>
      </c>
      <c r="M8">
        <v>6.0199999999999997E-2</v>
      </c>
      <c r="N8">
        <v>3.3700000000000001E-2</v>
      </c>
      <c r="O8">
        <v>167.72</v>
      </c>
      <c r="P8">
        <v>13199.66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  <c r="X8" t="s">
        <v>38</v>
      </c>
      <c r="Y8" t="s">
        <v>33</v>
      </c>
      <c r="Z8">
        <v>13199.66</v>
      </c>
      <c r="AA8">
        <v>0.13167531223813894</v>
      </c>
    </row>
    <row r="9" spans="1:27" x14ac:dyDescent="0.3">
      <c r="A9" t="s">
        <v>41</v>
      </c>
      <c r="B9" t="s">
        <v>50</v>
      </c>
      <c r="C9" t="s">
        <v>46</v>
      </c>
      <c r="D9" t="s">
        <v>30</v>
      </c>
      <c r="E9">
        <v>97131</v>
      </c>
      <c r="F9">
        <v>82530</v>
      </c>
      <c r="G9">
        <v>263.73</v>
      </c>
      <c r="H9">
        <v>10.25</v>
      </c>
      <c r="I9">
        <v>3.97</v>
      </c>
      <c r="J9">
        <v>10.26</v>
      </c>
      <c r="K9">
        <v>0</v>
      </c>
      <c r="L9">
        <v>100</v>
      </c>
      <c r="M9">
        <v>6.3799999999999996E-2</v>
      </c>
      <c r="N9">
        <v>4.1700000000000001E-2</v>
      </c>
      <c r="O9">
        <v>178.47</v>
      </c>
      <c r="P9">
        <v>12771.46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  <c r="Y9" t="s">
        <v>33</v>
      </c>
      <c r="Z9">
        <v>12771.46</v>
      </c>
      <c r="AA9">
        <v>0.13148696090846382</v>
      </c>
    </row>
    <row r="10" spans="1:27" x14ac:dyDescent="0.3">
      <c r="A10" t="s">
        <v>51</v>
      </c>
      <c r="B10" t="s">
        <v>52</v>
      </c>
      <c r="C10" t="s">
        <v>53</v>
      </c>
      <c r="D10" t="s">
        <v>54</v>
      </c>
      <c r="E10">
        <v>99299</v>
      </c>
      <c r="F10">
        <v>81255</v>
      </c>
      <c r="G10">
        <v>275.11</v>
      </c>
      <c r="H10">
        <v>7.42</v>
      </c>
      <c r="I10">
        <v>4.0999999999999996</v>
      </c>
      <c r="J10">
        <v>10.67</v>
      </c>
      <c r="K10">
        <v>0</v>
      </c>
      <c r="L10">
        <v>100</v>
      </c>
      <c r="M10">
        <v>5.9400000000000001E-2</v>
      </c>
      <c r="N10">
        <v>3.2500000000000001E-2</v>
      </c>
      <c r="O10">
        <v>209.83</v>
      </c>
      <c r="P10">
        <v>12480.68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 t="s">
        <v>38</v>
      </c>
      <c r="Y10" t="s">
        <v>33</v>
      </c>
      <c r="Z10">
        <v>12480.68</v>
      </c>
      <c r="AA10">
        <v>0.12568787198259801</v>
      </c>
    </row>
    <row r="11" spans="1:27" x14ac:dyDescent="0.3">
      <c r="A11" t="s">
        <v>51</v>
      </c>
      <c r="B11" t="s">
        <v>50</v>
      </c>
      <c r="C11" t="s">
        <v>46</v>
      </c>
      <c r="D11" t="s">
        <v>54</v>
      </c>
      <c r="E11">
        <v>96049</v>
      </c>
      <c r="F11">
        <v>79767</v>
      </c>
      <c r="G11">
        <v>265.20999999999998</v>
      </c>
      <c r="H11">
        <v>12.26</v>
      </c>
      <c r="I11">
        <v>3.69</v>
      </c>
      <c r="J11">
        <v>12.45</v>
      </c>
      <c r="K11">
        <v>0</v>
      </c>
      <c r="L11">
        <v>100</v>
      </c>
      <c r="M11">
        <v>6.59E-2</v>
      </c>
      <c r="N11">
        <v>3.9E-2</v>
      </c>
      <c r="O11">
        <v>168.85</v>
      </c>
      <c r="P11">
        <v>12341.92</v>
      </c>
      <c r="Q11" t="s">
        <v>31</v>
      </c>
      <c r="R11" t="s">
        <v>32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  <c r="X11" t="s">
        <v>38</v>
      </c>
      <c r="Y11" t="s">
        <v>33</v>
      </c>
      <c r="Z11">
        <v>12341.92</v>
      </c>
      <c r="AA11">
        <v>0.12849608012576913</v>
      </c>
    </row>
    <row r="12" spans="1:27" x14ac:dyDescent="0.3">
      <c r="A12" t="s">
        <v>55</v>
      </c>
      <c r="B12" t="s">
        <v>56</v>
      </c>
      <c r="C12" t="s">
        <v>46</v>
      </c>
      <c r="D12" t="s">
        <v>57</v>
      </c>
      <c r="E12">
        <v>102173</v>
      </c>
      <c r="F12">
        <v>78454</v>
      </c>
      <c r="G12">
        <v>277.82</v>
      </c>
      <c r="H12">
        <v>7.08</v>
      </c>
      <c r="I12">
        <v>3.56</v>
      </c>
      <c r="J12">
        <v>11.63</v>
      </c>
      <c r="K12">
        <v>0</v>
      </c>
      <c r="L12">
        <v>100</v>
      </c>
      <c r="M12">
        <v>5.7599999999999998E-2</v>
      </c>
      <c r="N12">
        <v>3.5299999999999998E-2</v>
      </c>
      <c r="O12">
        <v>200.99</v>
      </c>
      <c r="P12">
        <v>12309.92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33</v>
      </c>
      <c r="Z12">
        <v>12309.92</v>
      </c>
      <c r="AA12">
        <v>0.12048114472512307</v>
      </c>
    </row>
    <row r="13" spans="1:27" x14ac:dyDescent="0.3">
      <c r="A13" t="s">
        <v>55</v>
      </c>
      <c r="B13" t="s">
        <v>58</v>
      </c>
      <c r="C13" t="s">
        <v>43</v>
      </c>
      <c r="D13" t="s">
        <v>57</v>
      </c>
      <c r="E13">
        <v>104350</v>
      </c>
      <c r="F13">
        <v>79658</v>
      </c>
      <c r="G13">
        <v>282.27999999999997</v>
      </c>
      <c r="H13">
        <v>9.42</v>
      </c>
      <c r="I13">
        <v>3.28</v>
      </c>
      <c r="J13">
        <v>10.53</v>
      </c>
      <c r="K13">
        <v>0</v>
      </c>
      <c r="L13">
        <v>100</v>
      </c>
      <c r="M13">
        <v>5.6899999999999999E-2</v>
      </c>
      <c r="N13">
        <v>3.5000000000000003E-2</v>
      </c>
      <c r="O13">
        <v>166.32</v>
      </c>
      <c r="P13">
        <v>12208.35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37</v>
      </c>
      <c r="X13" t="s">
        <v>38</v>
      </c>
      <c r="Y13" t="s">
        <v>33</v>
      </c>
      <c r="Z13">
        <v>12208.35</v>
      </c>
      <c r="AA13">
        <v>0.11699425011978917</v>
      </c>
    </row>
    <row r="14" spans="1:27" x14ac:dyDescent="0.3">
      <c r="A14" t="s">
        <v>44</v>
      </c>
      <c r="B14" t="s">
        <v>39</v>
      </c>
      <c r="C14" t="s">
        <v>40</v>
      </c>
      <c r="D14" t="s">
        <v>30</v>
      </c>
      <c r="E14">
        <v>96719</v>
      </c>
      <c r="F14">
        <v>81103</v>
      </c>
      <c r="G14">
        <v>274.20999999999998</v>
      </c>
      <c r="H14">
        <v>8.68</v>
      </c>
      <c r="I14">
        <v>3.97</v>
      </c>
      <c r="J14">
        <v>13</v>
      </c>
      <c r="K14">
        <v>0</v>
      </c>
      <c r="L14">
        <v>100</v>
      </c>
      <c r="M14">
        <v>6.4799999999999996E-2</v>
      </c>
      <c r="N14">
        <v>3.9899999999999998E-2</v>
      </c>
      <c r="O14">
        <v>172.59</v>
      </c>
      <c r="P14">
        <v>12183.34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36</v>
      </c>
      <c r="W14" t="s">
        <v>37</v>
      </c>
      <c r="X14" t="s">
        <v>38</v>
      </c>
      <c r="Y14" t="s">
        <v>33</v>
      </c>
      <c r="Z14">
        <v>12183.34</v>
      </c>
      <c r="AA14">
        <v>0.12596635614512144</v>
      </c>
    </row>
    <row r="15" spans="1:27" x14ac:dyDescent="0.3">
      <c r="A15" t="s">
        <v>27</v>
      </c>
      <c r="B15" t="s">
        <v>56</v>
      </c>
      <c r="C15" t="s">
        <v>46</v>
      </c>
      <c r="D15" t="s">
        <v>30</v>
      </c>
      <c r="E15">
        <v>98871</v>
      </c>
      <c r="F15">
        <v>80435</v>
      </c>
      <c r="G15">
        <v>273.36</v>
      </c>
      <c r="H15">
        <v>34.56</v>
      </c>
      <c r="I15">
        <v>2.74</v>
      </c>
      <c r="J15">
        <v>12.04</v>
      </c>
      <c r="K15">
        <v>0</v>
      </c>
      <c r="L15">
        <v>100</v>
      </c>
      <c r="M15">
        <v>6.3E-2</v>
      </c>
      <c r="N15">
        <v>4.1700000000000001E-2</v>
      </c>
      <c r="O15">
        <v>116.42</v>
      </c>
      <c r="P15">
        <v>11691.84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38</v>
      </c>
      <c r="Y15" t="s">
        <v>33</v>
      </c>
      <c r="Z15">
        <v>11691.84</v>
      </c>
      <c r="AA15">
        <v>0.11825348180963073</v>
      </c>
    </row>
    <row r="16" spans="1:27" x14ac:dyDescent="0.3">
      <c r="A16" t="s">
        <v>41</v>
      </c>
      <c r="B16" t="s">
        <v>59</v>
      </c>
      <c r="C16" t="s">
        <v>53</v>
      </c>
      <c r="D16" t="s">
        <v>30</v>
      </c>
      <c r="E16">
        <v>99870</v>
      </c>
      <c r="F16">
        <v>81397</v>
      </c>
      <c r="G16">
        <v>270.89999999999998</v>
      </c>
      <c r="H16">
        <v>7.95</v>
      </c>
      <c r="I16">
        <v>3.01</v>
      </c>
      <c r="J16">
        <v>12.45</v>
      </c>
      <c r="K16">
        <v>0</v>
      </c>
      <c r="L16">
        <v>100</v>
      </c>
      <c r="M16">
        <v>6.0100000000000001E-2</v>
      </c>
      <c r="N16">
        <v>3.4500000000000003E-2</v>
      </c>
      <c r="O16">
        <v>122.91</v>
      </c>
      <c r="P16">
        <v>11664.42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36</v>
      </c>
      <c r="W16" t="s">
        <v>37</v>
      </c>
      <c r="X16" t="s">
        <v>38</v>
      </c>
      <c r="Y16" t="s">
        <v>33</v>
      </c>
      <c r="Z16">
        <v>11664.42</v>
      </c>
      <c r="AA16">
        <v>0.11679603484529889</v>
      </c>
    </row>
    <row r="17" spans="1:27" x14ac:dyDescent="0.3">
      <c r="A17" t="s">
        <v>55</v>
      </c>
      <c r="B17" t="s">
        <v>48</v>
      </c>
      <c r="C17" t="s">
        <v>46</v>
      </c>
      <c r="D17" t="s">
        <v>57</v>
      </c>
      <c r="E17">
        <v>105408</v>
      </c>
      <c r="F17">
        <v>81982</v>
      </c>
      <c r="G17">
        <v>277.57</v>
      </c>
      <c r="H17">
        <v>8.6300000000000008</v>
      </c>
      <c r="I17">
        <v>2.87</v>
      </c>
      <c r="J17">
        <v>10.81</v>
      </c>
      <c r="K17">
        <v>0</v>
      </c>
      <c r="L17">
        <v>100</v>
      </c>
      <c r="M17">
        <v>5.7500000000000002E-2</v>
      </c>
      <c r="N17">
        <v>3.3099999999999997E-2</v>
      </c>
      <c r="O17">
        <v>173.31</v>
      </c>
      <c r="P17">
        <v>11387.28</v>
      </c>
      <c r="Q17" t="s">
        <v>31</v>
      </c>
      <c r="R17" t="s">
        <v>32</v>
      </c>
      <c r="S17" t="s">
        <v>33</v>
      </c>
      <c r="T17" t="s">
        <v>34</v>
      </c>
      <c r="U17" t="s">
        <v>35</v>
      </c>
      <c r="V17" t="s">
        <v>36</v>
      </c>
      <c r="W17" t="s">
        <v>37</v>
      </c>
      <c r="X17" t="s">
        <v>38</v>
      </c>
      <c r="Y17" t="s">
        <v>33</v>
      </c>
      <c r="Z17">
        <v>11387.28</v>
      </c>
      <c r="AA17">
        <v>0.10803051001821494</v>
      </c>
    </row>
    <row r="18" spans="1:27" x14ac:dyDescent="0.3">
      <c r="A18" t="s">
        <v>55</v>
      </c>
      <c r="B18" t="s">
        <v>28</v>
      </c>
      <c r="C18" t="s">
        <v>29</v>
      </c>
      <c r="D18" t="s">
        <v>57</v>
      </c>
      <c r="E18">
        <v>101392</v>
      </c>
      <c r="F18">
        <v>79167</v>
      </c>
      <c r="G18">
        <v>274.63</v>
      </c>
      <c r="H18">
        <v>9.18</v>
      </c>
      <c r="I18">
        <v>2.74</v>
      </c>
      <c r="J18">
        <v>10.81</v>
      </c>
      <c r="K18">
        <v>0</v>
      </c>
      <c r="L18">
        <v>100</v>
      </c>
      <c r="M18">
        <v>6.1199999999999997E-2</v>
      </c>
      <c r="N18">
        <v>3.7699999999999997E-2</v>
      </c>
      <c r="O18">
        <v>160.77000000000001</v>
      </c>
      <c r="P18">
        <v>11221.12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  <c r="W18" t="s">
        <v>37</v>
      </c>
      <c r="X18" t="s">
        <v>38</v>
      </c>
      <c r="Y18" t="s">
        <v>33</v>
      </c>
      <c r="Z18">
        <v>11221.12</v>
      </c>
      <c r="AA18">
        <v>0.11067066435221713</v>
      </c>
    </row>
    <row r="19" spans="1:27" x14ac:dyDescent="0.3">
      <c r="A19" t="s">
        <v>51</v>
      </c>
      <c r="B19" t="s">
        <v>39</v>
      </c>
      <c r="C19" t="s">
        <v>40</v>
      </c>
      <c r="D19" t="s">
        <v>54</v>
      </c>
      <c r="E19">
        <v>99123</v>
      </c>
      <c r="F19">
        <v>79952</v>
      </c>
      <c r="G19">
        <v>271.99</v>
      </c>
      <c r="H19">
        <v>8.26</v>
      </c>
      <c r="I19">
        <v>3.56</v>
      </c>
      <c r="J19">
        <v>11.9</v>
      </c>
      <c r="K19">
        <v>0</v>
      </c>
      <c r="L19">
        <v>100</v>
      </c>
      <c r="M19">
        <v>6.0400000000000002E-2</v>
      </c>
      <c r="N19">
        <v>3.5999999999999997E-2</v>
      </c>
      <c r="O19">
        <v>177.93</v>
      </c>
      <c r="P19">
        <v>10933.97</v>
      </c>
      <c r="Q19" t="s">
        <v>31</v>
      </c>
      <c r="R19" t="s">
        <v>32</v>
      </c>
      <c r="S19" t="s">
        <v>33</v>
      </c>
      <c r="T19" t="s">
        <v>34</v>
      </c>
      <c r="U19" t="s">
        <v>35</v>
      </c>
      <c r="V19" t="s">
        <v>36</v>
      </c>
      <c r="W19" t="s">
        <v>37</v>
      </c>
      <c r="X19" t="s">
        <v>38</v>
      </c>
      <c r="Y19" t="s">
        <v>33</v>
      </c>
      <c r="Z19">
        <v>10933.97</v>
      </c>
      <c r="AA19">
        <v>0.11030709320742915</v>
      </c>
    </row>
    <row r="20" spans="1:27" x14ac:dyDescent="0.3">
      <c r="A20" t="s">
        <v>41</v>
      </c>
      <c r="B20" t="s">
        <v>60</v>
      </c>
      <c r="C20" t="s">
        <v>46</v>
      </c>
      <c r="D20" t="s">
        <v>30</v>
      </c>
      <c r="E20">
        <v>100371</v>
      </c>
      <c r="F20">
        <v>80505</v>
      </c>
      <c r="G20">
        <v>272.82</v>
      </c>
      <c r="H20">
        <v>28.61</v>
      </c>
      <c r="I20">
        <v>4.0999999999999996</v>
      </c>
      <c r="J20">
        <v>10.67</v>
      </c>
      <c r="K20">
        <v>0</v>
      </c>
      <c r="L20">
        <v>100</v>
      </c>
      <c r="M20">
        <v>6.2399999999999997E-2</v>
      </c>
      <c r="N20">
        <v>4.2299999999999997E-2</v>
      </c>
      <c r="O20">
        <v>189.7</v>
      </c>
      <c r="P20">
        <v>10490.08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36</v>
      </c>
      <c r="W20" t="s">
        <v>37</v>
      </c>
      <c r="X20" t="s">
        <v>38</v>
      </c>
      <c r="Y20" t="s">
        <v>33</v>
      </c>
      <c r="Z20">
        <v>10490.08</v>
      </c>
      <c r="AA20">
        <v>0.1045130565601618</v>
      </c>
    </row>
    <row r="21" spans="1:27" x14ac:dyDescent="0.3">
      <c r="A21" t="s">
        <v>41</v>
      </c>
      <c r="B21" t="s">
        <v>61</v>
      </c>
      <c r="C21" t="s">
        <v>46</v>
      </c>
      <c r="D21" t="s">
        <v>30</v>
      </c>
      <c r="E21">
        <v>97174</v>
      </c>
      <c r="F21">
        <v>81277</v>
      </c>
      <c r="G21">
        <v>265.39</v>
      </c>
      <c r="H21">
        <v>15.07</v>
      </c>
      <c r="I21">
        <v>3.15</v>
      </c>
      <c r="J21">
        <v>9.99</v>
      </c>
      <c r="K21">
        <v>0</v>
      </c>
      <c r="L21">
        <v>100</v>
      </c>
      <c r="M21">
        <v>6.3600000000000004E-2</v>
      </c>
      <c r="N21">
        <v>3.7499999999999999E-2</v>
      </c>
      <c r="O21">
        <v>160.80000000000001</v>
      </c>
      <c r="P21">
        <v>9604.2000000000007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33</v>
      </c>
      <c r="Z21">
        <v>9604.2000000000007</v>
      </c>
      <c r="AA21">
        <v>9.8835079342210877E-2</v>
      </c>
    </row>
    <row r="22" spans="1:27" x14ac:dyDescent="0.3">
      <c r="A22" t="s">
        <v>27</v>
      </c>
      <c r="B22" t="s">
        <v>58</v>
      </c>
      <c r="C22" t="s">
        <v>43</v>
      </c>
      <c r="D22" t="s">
        <v>30</v>
      </c>
      <c r="E22">
        <v>98187</v>
      </c>
      <c r="F22">
        <v>78287</v>
      </c>
      <c r="G22">
        <v>264.98</v>
      </c>
      <c r="H22">
        <v>7.44</v>
      </c>
      <c r="I22">
        <v>4.0999999999999996</v>
      </c>
      <c r="J22">
        <v>9.85</v>
      </c>
      <c r="K22">
        <v>0</v>
      </c>
      <c r="L22">
        <v>100</v>
      </c>
      <c r="M22">
        <v>5.9499999999999997E-2</v>
      </c>
      <c r="N22">
        <v>3.4500000000000003E-2</v>
      </c>
      <c r="O22">
        <v>209.04</v>
      </c>
      <c r="P22">
        <v>9546.77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33</v>
      </c>
      <c r="Z22">
        <v>9546.77</v>
      </c>
      <c r="AA22">
        <v>9.723048876124131E-2</v>
      </c>
    </row>
    <row r="23" spans="1:27" x14ac:dyDescent="0.3">
      <c r="A23" t="s">
        <v>41</v>
      </c>
      <c r="B23" t="s">
        <v>62</v>
      </c>
      <c r="C23" t="s">
        <v>53</v>
      </c>
      <c r="D23" t="s">
        <v>30</v>
      </c>
      <c r="E23">
        <v>96756</v>
      </c>
      <c r="F23">
        <v>83158</v>
      </c>
      <c r="G23">
        <v>274.89</v>
      </c>
      <c r="H23">
        <v>7.05</v>
      </c>
      <c r="I23">
        <v>3.15</v>
      </c>
      <c r="J23">
        <v>12.72</v>
      </c>
      <c r="K23">
        <v>0</v>
      </c>
      <c r="L23">
        <v>100</v>
      </c>
      <c r="M23">
        <v>6.0199999999999997E-2</v>
      </c>
      <c r="N23">
        <v>3.2500000000000001E-2</v>
      </c>
      <c r="O23">
        <v>208.32</v>
      </c>
      <c r="P23">
        <v>13773.03</v>
      </c>
      <c r="Q23" t="s">
        <v>31</v>
      </c>
      <c r="R23" t="s">
        <v>32</v>
      </c>
      <c r="S23" t="s">
        <v>63</v>
      </c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63</v>
      </c>
      <c r="Z23">
        <v>13773.03</v>
      </c>
      <c r="AA23">
        <v>0.14234807143743022</v>
      </c>
    </row>
    <row r="24" spans="1:27" x14ac:dyDescent="0.3">
      <c r="A24" t="s">
        <v>44</v>
      </c>
      <c r="B24" t="s">
        <v>64</v>
      </c>
      <c r="C24" t="s">
        <v>43</v>
      </c>
      <c r="D24" t="s">
        <v>30</v>
      </c>
      <c r="E24">
        <v>95606</v>
      </c>
      <c r="F24">
        <v>82839</v>
      </c>
      <c r="G24">
        <v>269.69</v>
      </c>
      <c r="H24">
        <v>7.59</v>
      </c>
      <c r="I24">
        <v>3.01</v>
      </c>
      <c r="J24">
        <v>10.26</v>
      </c>
      <c r="K24">
        <v>0</v>
      </c>
      <c r="L24">
        <v>100</v>
      </c>
      <c r="M24">
        <v>6.3500000000000001E-2</v>
      </c>
      <c r="N24">
        <v>4.1200000000000001E-2</v>
      </c>
      <c r="O24">
        <v>169.15</v>
      </c>
      <c r="P24">
        <v>12025.47</v>
      </c>
      <c r="Q24" t="s">
        <v>31</v>
      </c>
      <c r="R24" t="s">
        <v>32</v>
      </c>
      <c r="S24" t="s">
        <v>63</v>
      </c>
      <c r="T24" t="s">
        <v>34</v>
      </c>
      <c r="U24" t="s">
        <v>35</v>
      </c>
      <c r="V24" t="s">
        <v>36</v>
      </c>
      <c r="W24" t="s">
        <v>37</v>
      </c>
      <c r="X24" t="s">
        <v>38</v>
      </c>
      <c r="Y24" t="s">
        <v>63</v>
      </c>
      <c r="Z24">
        <v>12025.47</v>
      </c>
      <c r="AA24">
        <v>0.12578154090747443</v>
      </c>
    </row>
    <row r="25" spans="1:27" x14ac:dyDescent="0.3">
      <c r="A25" t="s">
        <v>27</v>
      </c>
      <c r="B25" t="s">
        <v>64</v>
      </c>
      <c r="C25" t="s">
        <v>43</v>
      </c>
      <c r="D25" t="s">
        <v>30</v>
      </c>
      <c r="E25">
        <v>109099</v>
      </c>
      <c r="F25">
        <v>77855</v>
      </c>
      <c r="G25">
        <v>277.91000000000003</v>
      </c>
      <c r="H25">
        <v>4.04</v>
      </c>
      <c r="I25">
        <v>4.79</v>
      </c>
      <c r="J25">
        <v>8.48</v>
      </c>
      <c r="K25">
        <v>0</v>
      </c>
      <c r="L25">
        <v>100</v>
      </c>
      <c r="M25">
        <v>5.7200000000000001E-2</v>
      </c>
      <c r="N25">
        <v>3.7499999999999999E-2</v>
      </c>
      <c r="O25">
        <v>164.59</v>
      </c>
      <c r="P25">
        <v>9342.2900000000009</v>
      </c>
      <c r="Q25" t="s">
        <v>65</v>
      </c>
      <c r="R25" t="s">
        <v>32</v>
      </c>
      <c r="S25" t="s">
        <v>66</v>
      </c>
      <c r="T25" t="s">
        <v>67</v>
      </c>
      <c r="U25" t="s">
        <v>35</v>
      </c>
      <c r="V25" t="s">
        <v>36</v>
      </c>
      <c r="W25" t="s">
        <v>37</v>
      </c>
      <c r="X25" t="s">
        <v>68</v>
      </c>
      <c r="Y25" t="s">
        <v>63</v>
      </c>
      <c r="Z25">
        <v>0</v>
      </c>
      <c r="AA25">
        <v>0</v>
      </c>
    </row>
    <row r="26" spans="1:27" x14ac:dyDescent="0.3">
      <c r="A26" t="s">
        <v>55</v>
      </c>
      <c r="B26" t="s">
        <v>50</v>
      </c>
      <c r="C26" t="s">
        <v>46</v>
      </c>
      <c r="D26" t="s">
        <v>57</v>
      </c>
      <c r="E26">
        <v>107479</v>
      </c>
      <c r="F26">
        <v>81673</v>
      </c>
      <c r="G26">
        <v>285.26</v>
      </c>
      <c r="H26">
        <v>4.4000000000000004</v>
      </c>
      <c r="I26">
        <v>2.74</v>
      </c>
      <c r="J26">
        <v>9.99</v>
      </c>
      <c r="K26">
        <v>0</v>
      </c>
      <c r="L26">
        <v>100</v>
      </c>
      <c r="M26">
        <v>5.57E-2</v>
      </c>
      <c r="N26">
        <v>3.15E-2</v>
      </c>
      <c r="O26">
        <v>151.84</v>
      </c>
      <c r="P26">
        <v>11155.79</v>
      </c>
      <c r="Q26" t="s">
        <v>65</v>
      </c>
      <c r="R26" t="s">
        <v>32</v>
      </c>
      <c r="S26" t="s">
        <v>66</v>
      </c>
      <c r="T26" t="s">
        <v>67</v>
      </c>
      <c r="U26" t="s">
        <v>35</v>
      </c>
      <c r="V26" t="s">
        <v>36</v>
      </c>
      <c r="W26" t="s">
        <v>37</v>
      </c>
      <c r="X26" t="s">
        <v>68</v>
      </c>
      <c r="Y26" t="s">
        <v>63</v>
      </c>
      <c r="Z26">
        <v>0</v>
      </c>
      <c r="AA26">
        <v>0</v>
      </c>
    </row>
    <row r="27" spans="1:27" x14ac:dyDescent="0.3">
      <c r="A27" t="s">
        <v>44</v>
      </c>
      <c r="B27" t="s">
        <v>60</v>
      </c>
      <c r="C27" t="s">
        <v>46</v>
      </c>
      <c r="D27" t="s">
        <v>30</v>
      </c>
      <c r="E27">
        <v>105999</v>
      </c>
      <c r="F27">
        <v>80793</v>
      </c>
      <c r="G27">
        <v>278.33999999999997</v>
      </c>
      <c r="H27">
        <v>4.28</v>
      </c>
      <c r="I27">
        <v>3.28</v>
      </c>
      <c r="J27">
        <v>9.58</v>
      </c>
      <c r="K27">
        <v>0</v>
      </c>
      <c r="L27">
        <v>100</v>
      </c>
      <c r="M27">
        <v>5.5500000000000001E-2</v>
      </c>
      <c r="N27">
        <v>3.2399999999999998E-2</v>
      </c>
      <c r="O27">
        <v>164.19</v>
      </c>
      <c r="P27">
        <v>9487.7199999999993</v>
      </c>
      <c r="Q27" t="s">
        <v>65</v>
      </c>
      <c r="R27" t="s">
        <v>32</v>
      </c>
      <c r="S27" t="s">
        <v>66</v>
      </c>
      <c r="T27" t="s">
        <v>67</v>
      </c>
      <c r="U27" t="s">
        <v>35</v>
      </c>
      <c r="V27" t="s">
        <v>36</v>
      </c>
      <c r="W27" t="s">
        <v>37</v>
      </c>
      <c r="X27" t="s">
        <v>68</v>
      </c>
      <c r="Y27" t="s">
        <v>63</v>
      </c>
      <c r="Z27">
        <v>0</v>
      </c>
      <c r="AA27">
        <v>0</v>
      </c>
    </row>
    <row r="28" spans="1:27" x14ac:dyDescent="0.3">
      <c r="A28" t="s">
        <v>27</v>
      </c>
      <c r="B28" t="s">
        <v>45</v>
      </c>
      <c r="C28" t="s">
        <v>46</v>
      </c>
      <c r="D28" t="s">
        <v>30</v>
      </c>
      <c r="E28">
        <v>105667</v>
      </c>
      <c r="F28">
        <v>81734</v>
      </c>
      <c r="G28">
        <v>283.99</v>
      </c>
      <c r="H28">
        <v>5.09</v>
      </c>
      <c r="I28">
        <v>3.42</v>
      </c>
      <c r="J28">
        <v>10.53</v>
      </c>
      <c r="K28">
        <v>0</v>
      </c>
      <c r="L28">
        <v>100</v>
      </c>
      <c r="M28">
        <v>5.9200000000000003E-2</v>
      </c>
      <c r="N28">
        <v>3.7600000000000001E-2</v>
      </c>
      <c r="O28">
        <v>137.07</v>
      </c>
      <c r="P28">
        <v>12436.39</v>
      </c>
      <c r="Q28" t="s">
        <v>65</v>
      </c>
      <c r="R28" t="s">
        <v>32</v>
      </c>
      <c r="S28" t="s">
        <v>66</v>
      </c>
      <c r="T28" t="s">
        <v>67</v>
      </c>
      <c r="U28" t="s">
        <v>35</v>
      </c>
      <c r="V28" t="s">
        <v>36</v>
      </c>
      <c r="W28" t="s">
        <v>37</v>
      </c>
      <c r="X28" t="s">
        <v>68</v>
      </c>
      <c r="Y28" t="s">
        <v>63</v>
      </c>
      <c r="Z28">
        <v>0</v>
      </c>
      <c r="AA28">
        <v>0</v>
      </c>
    </row>
    <row r="29" spans="1:27" x14ac:dyDescent="0.3">
      <c r="A29" t="s">
        <v>44</v>
      </c>
      <c r="B29" t="s">
        <v>42</v>
      </c>
      <c r="C29" t="s">
        <v>43</v>
      </c>
      <c r="D29" t="s">
        <v>30</v>
      </c>
      <c r="E29">
        <v>105376</v>
      </c>
      <c r="F29">
        <v>80265</v>
      </c>
      <c r="G29">
        <v>282.95</v>
      </c>
      <c r="H29">
        <v>3.81</v>
      </c>
      <c r="I29">
        <v>3.69</v>
      </c>
      <c r="J29">
        <v>11.35</v>
      </c>
      <c r="K29">
        <v>0</v>
      </c>
      <c r="L29">
        <v>100</v>
      </c>
      <c r="M29">
        <v>5.8000000000000003E-2</v>
      </c>
      <c r="N29">
        <v>3.49E-2</v>
      </c>
      <c r="O29">
        <v>219.7</v>
      </c>
      <c r="P29">
        <v>11882.97</v>
      </c>
      <c r="Q29" t="s">
        <v>65</v>
      </c>
      <c r="R29" t="s">
        <v>32</v>
      </c>
      <c r="S29" t="s">
        <v>66</v>
      </c>
      <c r="T29" t="s">
        <v>67</v>
      </c>
      <c r="U29" t="s">
        <v>35</v>
      </c>
      <c r="V29" t="s">
        <v>36</v>
      </c>
      <c r="W29" t="s">
        <v>37</v>
      </c>
      <c r="X29" t="s">
        <v>68</v>
      </c>
      <c r="Y29" t="s">
        <v>63</v>
      </c>
      <c r="Z29">
        <v>0</v>
      </c>
      <c r="AA29">
        <v>0</v>
      </c>
    </row>
    <row r="30" spans="1:27" x14ac:dyDescent="0.3">
      <c r="A30" t="s">
        <v>44</v>
      </c>
      <c r="B30" t="s">
        <v>52</v>
      </c>
      <c r="C30" t="s">
        <v>53</v>
      </c>
      <c r="D30" t="s">
        <v>30</v>
      </c>
      <c r="E30">
        <v>105343</v>
      </c>
      <c r="F30">
        <v>81092</v>
      </c>
      <c r="G30">
        <v>276.31</v>
      </c>
      <c r="H30">
        <v>4.5199999999999996</v>
      </c>
      <c r="I30">
        <v>4.6500000000000004</v>
      </c>
      <c r="J30">
        <v>10.67</v>
      </c>
      <c r="K30">
        <v>0</v>
      </c>
      <c r="L30">
        <v>100</v>
      </c>
      <c r="M30">
        <v>5.7700000000000001E-2</v>
      </c>
      <c r="N30">
        <v>3.32E-2</v>
      </c>
      <c r="O30">
        <v>257.39</v>
      </c>
      <c r="P30">
        <v>8660.85</v>
      </c>
      <c r="Q30" t="s">
        <v>65</v>
      </c>
      <c r="R30" t="s">
        <v>32</v>
      </c>
      <c r="S30" t="s">
        <v>66</v>
      </c>
      <c r="T30" t="s">
        <v>67</v>
      </c>
      <c r="U30" t="s">
        <v>35</v>
      </c>
      <c r="V30" t="s">
        <v>36</v>
      </c>
      <c r="W30" t="s">
        <v>37</v>
      </c>
      <c r="X30" t="s">
        <v>68</v>
      </c>
      <c r="Y30" t="s">
        <v>63</v>
      </c>
      <c r="Z30">
        <v>0</v>
      </c>
      <c r="AA30">
        <v>0</v>
      </c>
    </row>
    <row r="31" spans="1:27" x14ac:dyDescent="0.3">
      <c r="A31" t="s">
        <v>55</v>
      </c>
      <c r="B31" t="s">
        <v>59</v>
      </c>
      <c r="C31" t="s">
        <v>53</v>
      </c>
      <c r="D31" t="s">
        <v>57</v>
      </c>
      <c r="E31">
        <v>105188</v>
      </c>
      <c r="F31">
        <v>81461</v>
      </c>
      <c r="G31">
        <v>290.87</v>
      </c>
      <c r="H31">
        <v>6.32</v>
      </c>
      <c r="I31">
        <v>3.56</v>
      </c>
      <c r="J31">
        <v>11.9</v>
      </c>
      <c r="K31">
        <v>0</v>
      </c>
      <c r="L31">
        <v>100</v>
      </c>
      <c r="M31">
        <v>5.7700000000000001E-2</v>
      </c>
      <c r="N31">
        <v>3.4500000000000003E-2</v>
      </c>
      <c r="O31">
        <v>163.38</v>
      </c>
      <c r="P31">
        <v>14085.25</v>
      </c>
      <c r="Q31" t="s">
        <v>65</v>
      </c>
      <c r="R31" t="s">
        <v>32</v>
      </c>
      <c r="S31" t="s">
        <v>66</v>
      </c>
      <c r="T31" t="s">
        <v>67</v>
      </c>
      <c r="U31" t="s">
        <v>35</v>
      </c>
      <c r="V31" t="s">
        <v>36</v>
      </c>
      <c r="W31" t="s">
        <v>37</v>
      </c>
      <c r="X31" t="s">
        <v>68</v>
      </c>
      <c r="Y31" t="s">
        <v>63</v>
      </c>
      <c r="Z31">
        <v>0</v>
      </c>
      <c r="AA31">
        <v>0</v>
      </c>
    </row>
    <row r="32" spans="1:27" x14ac:dyDescent="0.3">
      <c r="A32" t="s">
        <v>51</v>
      </c>
      <c r="B32" t="s">
        <v>61</v>
      </c>
      <c r="C32" t="s">
        <v>46</v>
      </c>
      <c r="D32" t="s">
        <v>54</v>
      </c>
      <c r="E32">
        <v>104777</v>
      </c>
      <c r="F32">
        <v>80588</v>
      </c>
      <c r="G32">
        <v>280.27</v>
      </c>
      <c r="H32">
        <v>4.67</v>
      </c>
      <c r="I32">
        <v>2.74</v>
      </c>
      <c r="J32">
        <v>9.7100000000000009</v>
      </c>
      <c r="K32">
        <v>0</v>
      </c>
      <c r="L32">
        <v>100</v>
      </c>
      <c r="M32">
        <v>5.6500000000000002E-2</v>
      </c>
      <c r="N32">
        <v>3.3000000000000002E-2</v>
      </c>
      <c r="O32">
        <v>105.45</v>
      </c>
      <c r="P32">
        <v>10500.37</v>
      </c>
      <c r="Q32" t="s">
        <v>65</v>
      </c>
      <c r="R32" t="s">
        <v>32</v>
      </c>
      <c r="S32" t="s">
        <v>66</v>
      </c>
      <c r="T32" t="s">
        <v>67</v>
      </c>
      <c r="U32" t="s">
        <v>35</v>
      </c>
      <c r="V32" t="s">
        <v>36</v>
      </c>
      <c r="W32" t="s">
        <v>37</v>
      </c>
      <c r="X32" t="s">
        <v>68</v>
      </c>
      <c r="Y32" t="s">
        <v>63</v>
      </c>
      <c r="Z32">
        <v>0</v>
      </c>
      <c r="AA32">
        <v>0</v>
      </c>
    </row>
    <row r="33" spans="1:27" x14ac:dyDescent="0.3">
      <c r="A33" t="s">
        <v>55</v>
      </c>
      <c r="B33" t="s">
        <v>39</v>
      </c>
      <c r="C33" t="s">
        <v>40</v>
      </c>
      <c r="D33" t="s">
        <v>57</v>
      </c>
      <c r="E33">
        <v>104566</v>
      </c>
      <c r="F33">
        <v>79597</v>
      </c>
      <c r="G33">
        <v>277.14999999999998</v>
      </c>
      <c r="H33">
        <v>6.96</v>
      </c>
      <c r="I33">
        <v>3.56</v>
      </c>
      <c r="J33">
        <v>10.4</v>
      </c>
      <c r="K33">
        <v>0</v>
      </c>
      <c r="L33">
        <v>100</v>
      </c>
      <c r="M33">
        <v>5.9900000000000002E-2</v>
      </c>
      <c r="N33">
        <v>3.7199999999999997E-2</v>
      </c>
      <c r="O33">
        <v>148.24</v>
      </c>
      <c r="P33">
        <v>11578.25</v>
      </c>
      <c r="Q33" t="s">
        <v>65</v>
      </c>
      <c r="R33" t="s">
        <v>32</v>
      </c>
      <c r="S33" t="s">
        <v>66</v>
      </c>
      <c r="T33" t="s">
        <v>67</v>
      </c>
      <c r="U33" t="s">
        <v>35</v>
      </c>
      <c r="V33" t="s">
        <v>36</v>
      </c>
      <c r="W33" t="s">
        <v>37</v>
      </c>
      <c r="X33" t="s">
        <v>68</v>
      </c>
      <c r="Y33" t="s">
        <v>63</v>
      </c>
      <c r="Z33">
        <v>0</v>
      </c>
      <c r="AA33">
        <v>0</v>
      </c>
    </row>
    <row r="34" spans="1:27" x14ac:dyDescent="0.3">
      <c r="A34" t="s">
        <v>55</v>
      </c>
      <c r="B34" t="s">
        <v>69</v>
      </c>
      <c r="C34" t="s">
        <v>40</v>
      </c>
      <c r="D34" t="s">
        <v>57</v>
      </c>
      <c r="E34">
        <v>104524</v>
      </c>
      <c r="F34">
        <v>79712</v>
      </c>
      <c r="G34">
        <v>277.97000000000003</v>
      </c>
      <c r="H34">
        <v>5.08</v>
      </c>
      <c r="I34">
        <v>4.24</v>
      </c>
      <c r="J34">
        <v>10.94</v>
      </c>
      <c r="K34">
        <v>0</v>
      </c>
      <c r="L34">
        <v>100</v>
      </c>
      <c r="M34">
        <v>6.13E-2</v>
      </c>
      <c r="N34">
        <v>3.9899999999999998E-2</v>
      </c>
      <c r="O34">
        <v>232.62</v>
      </c>
      <c r="P34">
        <v>10534.34</v>
      </c>
      <c r="Q34" t="s">
        <v>65</v>
      </c>
      <c r="R34" t="s">
        <v>32</v>
      </c>
      <c r="S34" t="s">
        <v>66</v>
      </c>
      <c r="T34" t="s">
        <v>67</v>
      </c>
      <c r="U34" t="s">
        <v>35</v>
      </c>
      <c r="V34" t="s">
        <v>36</v>
      </c>
      <c r="W34" t="s">
        <v>37</v>
      </c>
      <c r="X34" t="s">
        <v>68</v>
      </c>
      <c r="Y34" t="s">
        <v>63</v>
      </c>
      <c r="Z34">
        <v>0</v>
      </c>
      <c r="AA34">
        <v>0</v>
      </c>
    </row>
    <row r="35" spans="1:27" x14ac:dyDescent="0.3">
      <c r="A35" t="s">
        <v>51</v>
      </c>
      <c r="B35" t="s">
        <v>59</v>
      </c>
      <c r="C35" t="s">
        <v>53</v>
      </c>
      <c r="D35" t="s">
        <v>54</v>
      </c>
      <c r="E35">
        <v>103904</v>
      </c>
      <c r="F35">
        <v>81191</v>
      </c>
      <c r="G35">
        <v>282.35000000000002</v>
      </c>
      <c r="H35">
        <v>6.62</v>
      </c>
      <c r="I35">
        <v>2.74</v>
      </c>
      <c r="J35">
        <v>11.08</v>
      </c>
      <c r="K35">
        <v>0</v>
      </c>
      <c r="L35">
        <v>100</v>
      </c>
      <c r="M35">
        <v>5.6899999999999999E-2</v>
      </c>
      <c r="N35">
        <v>3.3799999999999997E-2</v>
      </c>
      <c r="O35">
        <v>158.1</v>
      </c>
      <c r="P35">
        <v>11526.27</v>
      </c>
      <c r="Q35" t="s">
        <v>65</v>
      </c>
      <c r="R35" t="s">
        <v>32</v>
      </c>
      <c r="S35" t="s">
        <v>66</v>
      </c>
      <c r="T35" t="s">
        <v>67</v>
      </c>
      <c r="U35" t="s">
        <v>35</v>
      </c>
      <c r="V35" t="s">
        <v>36</v>
      </c>
      <c r="W35" t="s">
        <v>37</v>
      </c>
      <c r="X35" t="s">
        <v>68</v>
      </c>
      <c r="Y35" t="s">
        <v>63</v>
      </c>
      <c r="Z35">
        <v>0</v>
      </c>
      <c r="AA35">
        <v>0</v>
      </c>
    </row>
    <row r="36" spans="1:27" x14ac:dyDescent="0.3">
      <c r="A36" t="s">
        <v>27</v>
      </c>
      <c r="B36" t="s">
        <v>48</v>
      </c>
      <c r="C36" t="s">
        <v>46</v>
      </c>
      <c r="D36" t="s">
        <v>30</v>
      </c>
      <c r="E36">
        <v>103703</v>
      </c>
      <c r="F36">
        <v>80952</v>
      </c>
      <c r="G36">
        <v>276.77999999999997</v>
      </c>
      <c r="H36">
        <v>3.52</v>
      </c>
      <c r="I36">
        <v>3.97</v>
      </c>
      <c r="J36">
        <v>8.07</v>
      </c>
      <c r="K36">
        <v>0</v>
      </c>
      <c r="L36">
        <v>100</v>
      </c>
      <c r="M36">
        <v>5.6800000000000003E-2</v>
      </c>
      <c r="N36">
        <v>3.3399999999999999E-2</v>
      </c>
      <c r="O36">
        <v>208.87</v>
      </c>
      <c r="P36">
        <v>8856.1</v>
      </c>
      <c r="Q36" t="s">
        <v>65</v>
      </c>
      <c r="R36" t="s">
        <v>32</v>
      </c>
      <c r="S36" t="s">
        <v>66</v>
      </c>
      <c r="T36" t="s">
        <v>67</v>
      </c>
      <c r="U36" t="s">
        <v>35</v>
      </c>
      <c r="V36" t="s">
        <v>36</v>
      </c>
      <c r="W36" t="s">
        <v>37</v>
      </c>
      <c r="X36" t="s">
        <v>68</v>
      </c>
      <c r="Y36" t="s">
        <v>63</v>
      </c>
      <c r="Z36">
        <v>0</v>
      </c>
      <c r="AA36">
        <v>0</v>
      </c>
    </row>
    <row r="37" spans="1:27" x14ac:dyDescent="0.3">
      <c r="A37" t="s">
        <v>55</v>
      </c>
      <c r="B37" t="s">
        <v>61</v>
      </c>
      <c r="C37" t="s">
        <v>46</v>
      </c>
      <c r="D37" t="s">
        <v>57</v>
      </c>
      <c r="E37">
        <v>103641</v>
      </c>
      <c r="F37">
        <v>81896</v>
      </c>
      <c r="G37">
        <v>277.99</v>
      </c>
      <c r="H37">
        <v>6.25</v>
      </c>
      <c r="I37">
        <v>4.51</v>
      </c>
      <c r="J37">
        <v>12.59</v>
      </c>
      <c r="K37">
        <v>0</v>
      </c>
      <c r="L37">
        <v>100</v>
      </c>
      <c r="M37">
        <v>5.7700000000000001E-2</v>
      </c>
      <c r="N37">
        <v>3.2000000000000001E-2</v>
      </c>
      <c r="O37">
        <v>183.7</v>
      </c>
      <c r="P37">
        <v>13500.67</v>
      </c>
      <c r="Q37" t="s">
        <v>65</v>
      </c>
      <c r="R37" t="s">
        <v>32</v>
      </c>
      <c r="S37" t="s">
        <v>66</v>
      </c>
      <c r="T37" t="s">
        <v>67</v>
      </c>
      <c r="U37" t="s">
        <v>35</v>
      </c>
      <c r="V37" t="s">
        <v>36</v>
      </c>
      <c r="W37" t="s">
        <v>37</v>
      </c>
      <c r="X37" t="s">
        <v>68</v>
      </c>
      <c r="Y37" t="s">
        <v>63</v>
      </c>
      <c r="Z37">
        <v>0</v>
      </c>
      <c r="AA37">
        <v>0</v>
      </c>
    </row>
    <row r="38" spans="1:27" x14ac:dyDescent="0.3">
      <c r="A38" t="s">
        <v>41</v>
      </c>
      <c r="B38" t="s">
        <v>45</v>
      </c>
      <c r="C38" t="s">
        <v>46</v>
      </c>
      <c r="D38" t="s">
        <v>30</v>
      </c>
      <c r="E38">
        <v>103393</v>
      </c>
      <c r="F38">
        <v>83635</v>
      </c>
      <c r="G38">
        <v>274.54000000000002</v>
      </c>
      <c r="H38">
        <v>4.3899999999999997</v>
      </c>
      <c r="I38">
        <v>3.97</v>
      </c>
      <c r="J38">
        <v>10.4</v>
      </c>
      <c r="K38">
        <v>0</v>
      </c>
      <c r="L38">
        <v>100</v>
      </c>
      <c r="M38">
        <v>5.8500000000000003E-2</v>
      </c>
      <c r="N38">
        <v>3.6200000000000003E-2</v>
      </c>
      <c r="O38">
        <v>171.26</v>
      </c>
      <c r="P38">
        <v>10491.14</v>
      </c>
      <c r="Q38" t="s">
        <v>65</v>
      </c>
      <c r="R38" t="s">
        <v>32</v>
      </c>
      <c r="S38" t="s">
        <v>66</v>
      </c>
      <c r="T38" t="s">
        <v>67</v>
      </c>
      <c r="U38" t="s">
        <v>35</v>
      </c>
      <c r="V38" t="s">
        <v>36</v>
      </c>
      <c r="W38" t="s">
        <v>37</v>
      </c>
      <c r="X38" t="s">
        <v>68</v>
      </c>
      <c r="Y38" t="s">
        <v>63</v>
      </c>
      <c r="Z38">
        <v>0</v>
      </c>
      <c r="AA38">
        <v>0</v>
      </c>
    </row>
    <row r="39" spans="1:27" x14ac:dyDescent="0.3">
      <c r="A39" t="s">
        <v>51</v>
      </c>
      <c r="B39" t="s">
        <v>56</v>
      </c>
      <c r="C39" t="s">
        <v>46</v>
      </c>
      <c r="D39" t="s">
        <v>54</v>
      </c>
      <c r="E39">
        <v>103147</v>
      </c>
      <c r="F39">
        <v>79770</v>
      </c>
      <c r="G39">
        <v>273.60000000000002</v>
      </c>
      <c r="H39">
        <v>4.53</v>
      </c>
      <c r="I39">
        <v>4.24</v>
      </c>
      <c r="J39">
        <v>8.34</v>
      </c>
      <c r="K39">
        <v>0</v>
      </c>
      <c r="L39">
        <v>100</v>
      </c>
      <c r="M39">
        <v>5.91E-2</v>
      </c>
      <c r="N39">
        <v>3.5099999999999999E-2</v>
      </c>
      <c r="O39">
        <v>280.58999999999997</v>
      </c>
      <c r="P39">
        <v>9432.14</v>
      </c>
      <c r="Q39" t="s">
        <v>65</v>
      </c>
      <c r="R39" t="s">
        <v>32</v>
      </c>
      <c r="S39" t="s">
        <v>66</v>
      </c>
      <c r="T39" t="s">
        <v>67</v>
      </c>
      <c r="U39" t="s">
        <v>35</v>
      </c>
      <c r="V39" t="s">
        <v>36</v>
      </c>
      <c r="W39" t="s">
        <v>37</v>
      </c>
      <c r="X39" t="s">
        <v>68</v>
      </c>
      <c r="Y39" t="s">
        <v>63</v>
      </c>
      <c r="Z39">
        <v>0</v>
      </c>
      <c r="AA39">
        <v>0</v>
      </c>
    </row>
    <row r="40" spans="1:27" x14ac:dyDescent="0.3">
      <c r="A40" t="s">
        <v>41</v>
      </c>
      <c r="B40" t="s">
        <v>70</v>
      </c>
      <c r="C40" t="s">
        <v>29</v>
      </c>
      <c r="D40" t="s">
        <v>30</v>
      </c>
      <c r="E40">
        <v>103001</v>
      </c>
      <c r="F40">
        <v>78936</v>
      </c>
      <c r="G40">
        <v>275.91000000000003</v>
      </c>
      <c r="H40">
        <v>4.91</v>
      </c>
      <c r="I40">
        <v>3.83</v>
      </c>
      <c r="J40">
        <v>12.72</v>
      </c>
      <c r="K40">
        <v>0</v>
      </c>
      <c r="L40">
        <v>100</v>
      </c>
      <c r="M40">
        <v>5.9499999999999997E-2</v>
      </c>
      <c r="N40">
        <v>3.6700000000000003E-2</v>
      </c>
      <c r="O40">
        <v>147.80000000000001</v>
      </c>
      <c r="P40">
        <v>13697.88</v>
      </c>
      <c r="Q40" t="s">
        <v>65</v>
      </c>
      <c r="R40" t="s">
        <v>32</v>
      </c>
      <c r="S40" t="s">
        <v>66</v>
      </c>
      <c r="T40" t="s">
        <v>67</v>
      </c>
      <c r="U40" t="s">
        <v>35</v>
      </c>
      <c r="V40" t="s">
        <v>36</v>
      </c>
      <c r="W40" t="s">
        <v>37</v>
      </c>
      <c r="X40" t="s">
        <v>68</v>
      </c>
      <c r="Y40" t="s">
        <v>63</v>
      </c>
      <c r="Z40">
        <v>0</v>
      </c>
      <c r="AA40">
        <v>0</v>
      </c>
    </row>
    <row r="41" spans="1:27" x14ac:dyDescent="0.3">
      <c r="A41" t="s">
        <v>55</v>
      </c>
      <c r="B41" t="s">
        <v>42</v>
      </c>
      <c r="C41" t="s">
        <v>43</v>
      </c>
      <c r="D41" t="s">
        <v>57</v>
      </c>
      <c r="E41">
        <v>102682</v>
      </c>
      <c r="F41">
        <v>80566</v>
      </c>
      <c r="G41">
        <v>280.16000000000003</v>
      </c>
      <c r="H41">
        <v>4.5599999999999996</v>
      </c>
      <c r="I41">
        <v>3.83</v>
      </c>
      <c r="J41">
        <v>11.63</v>
      </c>
      <c r="K41">
        <v>0</v>
      </c>
      <c r="L41">
        <v>100</v>
      </c>
      <c r="M41">
        <v>5.79E-2</v>
      </c>
      <c r="N41">
        <v>3.6299999999999999E-2</v>
      </c>
      <c r="O41">
        <v>217.02</v>
      </c>
      <c r="P41">
        <v>12483.16</v>
      </c>
      <c r="Q41" t="s">
        <v>65</v>
      </c>
      <c r="R41" t="s">
        <v>32</v>
      </c>
      <c r="S41" t="s">
        <v>66</v>
      </c>
      <c r="T41" t="s">
        <v>67</v>
      </c>
      <c r="U41" t="s">
        <v>35</v>
      </c>
      <c r="V41" t="s">
        <v>36</v>
      </c>
      <c r="W41" t="s">
        <v>37</v>
      </c>
      <c r="X41" t="s">
        <v>68</v>
      </c>
      <c r="Y41" t="s">
        <v>63</v>
      </c>
      <c r="Z41">
        <v>0</v>
      </c>
      <c r="AA41">
        <v>0</v>
      </c>
    </row>
    <row r="42" spans="1:27" x14ac:dyDescent="0.3">
      <c r="A42" t="s">
        <v>44</v>
      </c>
      <c r="B42" t="s">
        <v>47</v>
      </c>
      <c r="C42" t="s">
        <v>40</v>
      </c>
      <c r="D42" t="s">
        <v>30</v>
      </c>
      <c r="E42">
        <v>102528</v>
      </c>
      <c r="F42">
        <v>81020</v>
      </c>
      <c r="G42">
        <v>271.63</v>
      </c>
      <c r="H42">
        <v>4.8</v>
      </c>
      <c r="I42">
        <v>3.01</v>
      </c>
      <c r="J42">
        <v>9.17</v>
      </c>
      <c r="K42">
        <v>0</v>
      </c>
      <c r="L42">
        <v>100</v>
      </c>
      <c r="M42">
        <v>5.9900000000000002E-2</v>
      </c>
      <c r="N42">
        <v>3.6600000000000001E-2</v>
      </c>
      <c r="O42">
        <v>188.54</v>
      </c>
      <c r="P42">
        <v>10025.16</v>
      </c>
      <c r="Q42" t="s">
        <v>65</v>
      </c>
      <c r="R42" t="s">
        <v>32</v>
      </c>
      <c r="S42" t="s">
        <v>66</v>
      </c>
      <c r="T42" t="s">
        <v>67</v>
      </c>
      <c r="U42" t="s">
        <v>35</v>
      </c>
      <c r="V42" t="s">
        <v>36</v>
      </c>
      <c r="W42" t="s">
        <v>37</v>
      </c>
      <c r="X42" t="s">
        <v>68</v>
      </c>
      <c r="Y42" t="s">
        <v>63</v>
      </c>
      <c r="Z42">
        <v>0</v>
      </c>
      <c r="AA42">
        <v>0</v>
      </c>
    </row>
    <row r="43" spans="1:27" x14ac:dyDescent="0.3">
      <c r="A43" t="s">
        <v>44</v>
      </c>
      <c r="B43" t="s">
        <v>71</v>
      </c>
      <c r="C43" t="s">
        <v>29</v>
      </c>
      <c r="D43" t="s">
        <v>30</v>
      </c>
      <c r="E43">
        <v>102482</v>
      </c>
      <c r="F43">
        <v>80004</v>
      </c>
      <c r="G43">
        <v>272.02999999999997</v>
      </c>
      <c r="H43">
        <v>4.13</v>
      </c>
      <c r="I43">
        <v>3.97</v>
      </c>
      <c r="J43">
        <v>12.18</v>
      </c>
      <c r="K43">
        <v>0</v>
      </c>
      <c r="L43">
        <v>100</v>
      </c>
      <c r="M43">
        <v>5.7799999999999997E-2</v>
      </c>
      <c r="N43">
        <v>3.44E-2</v>
      </c>
      <c r="O43">
        <v>179.85</v>
      </c>
      <c r="P43">
        <v>11634.2</v>
      </c>
      <c r="Q43" t="s">
        <v>65</v>
      </c>
      <c r="R43" t="s">
        <v>32</v>
      </c>
      <c r="S43" t="s">
        <v>66</v>
      </c>
      <c r="T43" t="s">
        <v>67</v>
      </c>
      <c r="U43" t="s">
        <v>35</v>
      </c>
      <c r="V43" t="s">
        <v>36</v>
      </c>
      <c r="W43" t="s">
        <v>37</v>
      </c>
      <c r="X43" t="s">
        <v>68</v>
      </c>
      <c r="Y43" t="s">
        <v>63</v>
      </c>
      <c r="Z43">
        <v>0</v>
      </c>
      <c r="AA43">
        <v>0</v>
      </c>
    </row>
    <row r="44" spans="1:27" x14ac:dyDescent="0.3">
      <c r="A44" t="s">
        <v>51</v>
      </c>
      <c r="B44" t="s">
        <v>28</v>
      </c>
      <c r="C44" t="s">
        <v>29</v>
      </c>
      <c r="D44" t="s">
        <v>54</v>
      </c>
      <c r="E44">
        <v>102149</v>
      </c>
      <c r="F44">
        <v>78526</v>
      </c>
      <c r="G44">
        <v>271.73</v>
      </c>
      <c r="H44">
        <v>6.71</v>
      </c>
      <c r="I44">
        <v>3.42</v>
      </c>
      <c r="J44">
        <v>9.85</v>
      </c>
      <c r="K44">
        <v>0</v>
      </c>
      <c r="L44">
        <v>100</v>
      </c>
      <c r="M44">
        <v>6.0499999999999998E-2</v>
      </c>
      <c r="N44">
        <v>3.6700000000000003E-2</v>
      </c>
      <c r="O44">
        <v>166.42</v>
      </c>
      <c r="P44">
        <v>9790.9599999999991</v>
      </c>
      <c r="Q44" t="s">
        <v>65</v>
      </c>
      <c r="R44" t="s">
        <v>32</v>
      </c>
      <c r="S44" t="s">
        <v>66</v>
      </c>
      <c r="T44" t="s">
        <v>67</v>
      </c>
      <c r="U44" t="s">
        <v>35</v>
      </c>
      <c r="V44" t="s">
        <v>36</v>
      </c>
      <c r="W44" t="s">
        <v>37</v>
      </c>
      <c r="X44" t="s">
        <v>68</v>
      </c>
      <c r="Y44" t="s">
        <v>63</v>
      </c>
      <c r="Z44">
        <v>0</v>
      </c>
      <c r="AA44">
        <v>0</v>
      </c>
    </row>
    <row r="45" spans="1:27" x14ac:dyDescent="0.3">
      <c r="A45" t="s">
        <v>27</v>
      </c>
      <c r="B45" t="s">
        <v>50</v>
      </c>
      <c r="C45" t="s">
        <v>46</v>
      </c>
      <c r="D45" t="s">
        <v>30</v>
      </c>
      <c r="E45">
        <v>101844</v>
      </c>
      <c r="F45">
        <v>81039</v>
      </c>
      <c r="G45">
        <v>283.81</v>
      </c>
      <c r="H45">
        <v>6.55</v>
      </c>
      <c r="I45">
        <v>4.92</v>
      </c>
      <c r="J45">
        <v>10.94</v>
      </c>
      <c r="K45">
        <v>0</v>
      </c>
      <c r="L45">
        <v>100</v>
      </c>
      <c r="M45">
        <v>6.0699999999999997E-2</v>
      </c>
      <c r="N45">
        <v>3.8100000000000002E-2</v>
      </c>
      <c r="O45">
        <v>209.46</v>
      </c>
      <c r="P45">
        <v>11966.4</v>
      </c>
      <c r="Q45" t="s">
        <v>65</v>
      </c>
      <c r="R45" t="s">
        <v>32</v>
      </c>
      <c r="S45" t="s">
        <v>66</v>
      </c>
      <c r="T45" t="s">
        <v>67</v>
      </c>
      <c r="U45" t="s">
        <v>35</v>
      </c>
      <c r="V45" t="s">
        <v>36</v>
      </c>
      <c r="W45" t="s">
        <v>37</v>
      </c>
      <c r="X45" t="s">
        <v>68</v>
      </c>
      <c r="Y45" t="s">
        <v>63</v>
      </c>
      <c r="Z45">
        <v>0</v>
      </c>
      <c r="AA45">
        <v>0</v>
      </c>
    </row>
    <row r="46" spans="1:27" x14ac:dyDescent="0.3">
      <c r="A46" t="s">
        <v>27</v>
      </c>
      <c r="B46" t="s">
        <v>61</v>
      </c>
      <c r="C46" t="s">
        <v>46</v>
      </c>
      <c r="D46" t="s">
        <v>30</v>
      </c>
      <c r="E46">
        <v>101821</v>
      </c>
      <c r="F46">
        <v>79637</v>
      </c>
      <c r="G46">
        <v>278.39999999999998</v>
      </c>
      <c r="H46">
        <v>5.93</v>
      </c>
      <c r="I46">
        <v>3.56</v>
      </c>
      <c r="J46">
        <v>12.31</v>
      </c>
      <c r="K46">
        <v>0</v>
      </c>
      <c r="L46">
        <v>100</v>
      </c>
      <c r="M46">
        <v>5.8700000000000002E-2</v>
      </c>
      <c r="N46">
        <v>3.6999999999999998E-2</v>
      </c>
      <c r="O46">
        <v>132.63999999999999</v>
      </c>
      <c r="P46">
        <v>11079.31</v>
      </c>
      <c r="Q46" t="s">
        <v>65</v>
      </c>
      <c r="R46" t="s">
        <v>32</v>
      </c>
      <c r="S46" t="s">
        <v>66</v>
      </c>
      <c r="T46" t="s">
        <v>67</v>
      </c>
      <c r="U46" t="s">
        <v>35</v>
      </c>
      <c r="V46" t="s">
        <v>36</v>
      </c>
      <c r="W46" t="s">
        <v>37</v>
      </c>
      <c r="X46" t="s">
        <v>68</v>
      </c>
      <c r="Y46" t="s">
        <v>63</v>
      </c>
      <c r="Z46">
        <v>0</v>
      </c>
      <c r="AA46">
        <v>0</v>
      </c>
    </row>
    <row r="47" spans="1:27" x14ac:dyDescent="0.3">
      <c r="A47" t="s">
        <v>41</v>
      </c>
      <c r="B47" t="s">
        <v>71</v>
      </c>
      <c r="C47" t="s">
        <v>29</v>
      </c>
      <c r="D47" t="s">
        <v>30</v>
      </c>
      <c r="E47">
        <v>101475</v>
      </c>
      <c r="F47">
        <v>79026</v>
      </c>
      <c r="G47">
        <v>282.55</v>
      </c>
      <c r="H47">
        <v>5.1100000000000003</v>
      </c>
      <c r="I47">
        <v>2.33</v>
      </c>
      <c r="J47">
        <v>11.63</v>
      </c>
      <c r="K47">
        <v>0</v>
      </c>
      <c r="L47">
        <v>100</v>
      </c>
      <c r="M47">
        <v>6.3200000000000006E-2</v>
      </c>
      <c r="N47">
        <v>4.0500000000000001E-2</v>
      </c>
      <c r="O47">
        <v>129.44</v>
      </c>
      <c r="P47">
        <v>13149.08</v>
      </c>
      <c r="Q47" t="s">
        <v>65</v>
      </c>
      <c r="R47" t="s">
        <v>32</v>
      </c>
      <c r="S47" t="s">
        <v>66</v>
      </c>
      <c r="T47" t="s">
        <v>67</v>
      </c>
      <c r="U47" t="s">
        <v>35</v>
      </c>
      <c r="V47" t="s">
        <v>36</v>
      </c>
      <c r="W47" t="s">
        <v>37</v>
      </c>
      <c r="X47" t="s">
        <v>68</v>
      </c>
      <c r="Y47" t="s">
        <v>63</v>
      </c>
      <c r="Z47">
        <v>0</v>
      </c>
      <c r="AA47">
        <v>0</v>
      </c>
    </row>
    <row r="48" spans="1:27" x14ac:dyDescent="0.3">
      <c r="A48" t="s">
        <v>55</v>
      </c>
      <c r="B48" t="s">
        <v>72</v>
      </c>
      <c r="C48" t="s">
        <v>29</v>
      </c>
      <c r="D48" t="s">
        <v>57</v>
      </c>
      <c r="E48">
        <v>101464</v>
      </c>
      <c r="F48">
        <v>79438</v>
      </c>
      <c r="G48">
        <v>279.98</v>
      </c>
      <c r="H48">
        <v>6.77</v>
      </c>
      <c r="I48">
        <v>3.97</v>
      </c>
      <c r="J48">
        <v>11.22</v>
      </c>
      <c r="K48">
        <v>0</v>
      </c>
      <c r="L48">
        <v>100</v>
      </c>
      <c r="M48">
        <v>5.9900000000000002E-2</v>
      </c>
      <c r="N48">
        <v>3.5900000000000001E-2</v>
      </c>
      <c r="O48">
        <v>126.17</v>
      </c>
      <c r="P48">
        <v>12935.33</v>
      </c>
      <c r="Q48" t="s">
        <v>65</v>
      </c>
      <c r="R48" t="s">
        <v>32</v>
      </c>
      <c r="S48" t="s">
        <v>66</v>
      </c>
      <c r="T48" t="s">
        <v>67</v>
      </c>
      <c r="U48" t="s">
        <v>35</v>
      </c>
      <c r="V48" t="s">
        <v>36</v>
      </c>
      <c r="W48" t="s">
        <v>37</v>
      </c>
      <c r="X48" t="s">
        <v>68</v>
      </c>
      <c r="Y48" t="s">
        <v>63</v>
      </c>
      <c r="Z48">
        <v>0</v>
      </c>
      <c r="AA48">
        <v>0</v>
      </c>
    </row>
    <row r="49" spans="1:27" x14ac:dyDescent="0.3">
      <c r="A49" t="s">
        <v>27</v>
      </c>
      <c r="B49" t="s">
        <v>52</v>
      </c>
      <c r="C49" t="s">
        <v>53</v>
      </c>
      <c r="D49" t="s">
        <v>30</v>
      </c>
      <c r="E49">
        <v>101370</v>
      </c>
      <c r="F49">
        <v>81152</v>
      </c>
      <c r="G49">
        <v>283.89999999999998</v>
      </c>
      <c r="H49">
        <v>5.63</v>
      </c>
      <c r="I49">
        <v>2.6</v>
      </c>
      <c r="J49">
        <v>11.35</v>
      </c>
      <c r="K49">
        <v>0</v>
      </c>
      <c r="L49">
        <v>100</v>
      </c>
      <c r="M49">
        <v>5.8999999999999997E-2</v>
      </c>
      <c r="N49">
        <v>3.3399999999999999E-2</v>
      </c>
      <c r="O49">
        <v>165.44</v>
      </c>
      <c r="P49">
        <v>12368.72</v>
      </c>
      <c r="Q49" t="s">
        <v>65</v>
      </c>
      <c r="R49" t="s">
        <v>32</v>
      </c>
      <c r="S49" t="s">
        <v>66</v>
      </c>
      <c r="T49" t="s">
        <v>67</v>
      </c>
      <c r="U49" t="s">
        <v>35</v>
      </c>
      <c r="V49" t="s">
        <v>36</v>
      </c>
      <c r="W49" t="s">
        <v>37</v>
      </c>
      <c r="X49" t="s">
        <v>68</v>
      </c>
      <c r="Y49" t="s">
        <v>63</v>
      </c>
      <c r="Z49">
        <v>0</v>
      </c>
      <c r="AA49">
        <v>0</v>
      </c>
    </row>
    <row r="50" spans="1:27" x14ac:dyDescent="0.3">
      <c r="A50" t="s">
        <v>51</v>
      </c>
      <c r="B50" t="s">
        <v>60</v>
      </c>
      <c r="C50" t="s">
        <v>46</v>
      </c>
      <c r="D50" t="s">
        <v>54</v>
      </c>
      <c r="E50">
        <v>101270</v>
      </c>
      <c r="F50">
        <v>83870</v>
      </c>
      <c r="G50">
        <v>270.79000000000002</v>
      </c>
      <c r="H50">
        <v>4.8899999999999997</v>
      </c>
      <c r="I50">
        <v>4.0999999999999996</v>
      </c>
      <c r="J50">
        <v>10.67</v>
      </c>
      <c r="K50">
        <v>0</v>
      </c>
      <c r="L50">
        <v>100</v>
      </c>
      <c r="M50">
        <v>6.0299999999999999E-2</v>
      </c>
      <c r="N50">
        <v>3.8199999999999998E-2</v>
      </c>
      <c r="O50">
        <v>200.64</v>
      </c>
      <c r="P50">
        <v>10646.02</v>
      </c>
      <c r="Q50" t="s">
        <v>65</v>
      </c>
      <c r="R50" t="s">
        <v>32</v>
      </c>
      <c r="S50" t="s">
        <v>66</v>
      </c>
      <c r="T50" t="s">
        <v>67</v>
      </c>
      <c r="U50" t="s">
        <v>35</v>
      </c>
      <c r="V50" t="s">
        <v>36</v>
      </c>
      <c r="W50" t="s">
        <v>37</v>
      </c>
      <c r="X50" t="s">
        <v>68</v>
      </c>
      <c r="Y50" t="s">
        <v>63</v>
      </c>
      <c r="Z50">
        <v>0</v>
      </c>
      <c r="AA50">
        <v>0</v>
      </c>
    </row>
    <row r="51" spans="1:27" x14ac:dyDescent="0.3">
      <c r="A51" t="s">
        <v>27</v>
      </c>
      <c r="B51" t="s">
        <v>72</v>
      </c>
      <c r="C51" t="s">
        <v>29</v>
      </c>
      <c r="D51" t="s">
        <v>30</v>
      </c>
      <c r="E51">
        <v>101198</v>
      </c>
      <c r="F51">
        <v>79882</v>
      </c>
      <c r="G51">
        <v>278.19</v>
      </c>
      <c r="H51">
        <v>6.53</v>
      </c>
      <c r="I51">
        <v>3.56</v>
      </c>
      <c r="J51">
        <v>11.35</v>
      </c>
      <c r="K51">
        <v>0</v>
      </c>
      <c r="L51">
        <v>100</v>
      </c>
      <c r="M51">
        <v>6.2100000000000002E-2</v>
      </c>
      <c r="N51">
        <v>3.9699999999999999E-2</v>
      </c>
      <c r="O51">
        <v>208.19</v>
      </c>
      <c r="P51">
        <v>12402.14</v>
      </c>
      <c r="Q51" t="s">
        <v>65</v>
      </c>
      <c r="R51" t="s">
        <v>32</v>
      </c>
      <c r="S51" t="s">
        <v>66</v>
      </c>
      <c r="T51" t="s">
        <v>67</v>
      </c>
      <c r="U51" t="s">
        <v>35</v>
      </c>
      <c r="V51" t="s">
        <v>36</v>
      </c>
      <c r="W51" t="s">
        <v>37</v>
      </c>
      <c r="X51" t="s">
        <v>68</v>
      </c>
      <c r="Y51" t="s">
        <v>63</v>
      </c>
      <c r="Z51">
        <v>0</v>
      </c>
      <c r="AA51">
        <v>0</v>
      </c>
    </row>
    <row r="52" spans="1:27" x14ac:dyDescent="0.3">
      <c r="A52" t="s">
        <v>44</v>
      </c>
      <c r="B52" t="s">
        <v>70</v>
      </c>
      <c r="C52" t="s">
        <v>29</v>
      </c>
      <c r="D52" t="s">
        <v>30</v>
      </c>
      <c r="E52">
        <v>101190</v>
      </c>
      <c r="F52">
        <v>77866</v>
      </c>
      <c r="G52">
        <v>272.06</v>
      </c>
      <c r="H52">
        <v>4.38</v>
      </c>
      <c r="I52">
        <v>4.79</v>
      </c>
      <c r="J52">
        <v>10.67</v>
      </c>
      <c r="K52">
        <v>0</v>
      </c>
      <c r="L52">
        <v>100</v>
      </c>
      <c r="M52">
        <v>6.1600000000000002E-2</v>
      </c>
      <c r="N52">
        <v>3.7999999999999999E-2</v>
      </c>
      <c r="O52">
        <v>201.75</v>
      </c>
      <c r="P52">
        <v>9582.2999999999993</v>
      </c>
      <c r="Q52" t="s">
        <v>65</v>
      </c>
      <c r="R52" t="s">
        <v>32</v>
      </c>
      <c r="S52" t="s">
        <v>66</v>
      </c>
      <c r="T52" t="s">
        <v>67</v>
      </c>
      <c r="U52" t="s">
        <v>35</v>
      </c>
      <c r="V52" t="s">
        <v>36</v>
      </c>
      <c r="W52" t="s">
        <v>37</v>
      </c>
      <c r="X52" t="s">
        <v>68</v>
      </c>
      <c r="Y52" t="s">
        <v>63</v>
      </c>
      <c r="Z52">
        <v>0</v>
      </c>
      <c r="AA52">
        <v>0</v>
      </c>
    </row>
    <row r="53" spans="1:27" x14ac:dyDescent="0.3">
      <c r="A53" t="s">
        <v>41</v>
      </c>
      <c r="B53" t="s">
        <v>52</v>
      </c>
      <c r="C53" t="s">
        <v>53</v>
      </c>
      <c r="D53" t="s">
        <v>30</v>
      </c>
      <c r="E53">
        <v>101144</v>
      </c>
      <c r="F53">
        <v>82977</v>
      </c>
      <c r="G53">
        <v>276.02</v>
      </c>
      <c r="H53">
        <v>3.78</v>
      </c>
      <c r="I53">
        <v>3.15</v>
      </c>
      <c r="J53">
        <v>10.4</v>
      </c>
      <c r="K53">
        <v>0</v>
      </c>
      <c r="L53">
        <v>100</v>
      </c>
      <c r="M53">
        <v>6.0100000000000001E-2</v>
      </c>
      <c r="N53">
        <v>3.7600000000000001E-2</v>
      </c>
      <c r="O53">
        <v>143.56</v>
      </c>
      <c r="P53">
        <v>10702.74</v>
      </c>
      <c r="Q53" t="s">
        <v>65</v>
      </c>
      <c r="R53" t="s">
        <v>32</v>
      </c>
      <c r="S53" t="s">
        <v>66</v>
      </c>
      <c r="T53" t="s">
        <v>67</v>
      </c>
      <c r="U53" t="s">
        <v>35</v>
      </c>
      <c r="V53" t="s">
        <v>36</v>
      </c>
      <c r="W53" t="s">
        <v>37</v>
      </c>
      <c r="X53" t="s">
        <v>68</v>
      </c>
      <c r="Y53" t="s">
        <v>63</v>
      </c>
      <c r="Z53">
        <v>0</v>
      </c>
      <c r="AA53">
        <v>0</v>
      </c>
    </row>
    <row r="54" spans="1:27" x14ac:dyDescent="0.3">
      <c r="A54" t="s">
        <v>55</v>
      </c>
      <c r="B54" t="s">
        <v>64</v>
      </c>
      <c r="C54" t="s">
        <v>43</v>
      </c>
      <c r="D54" t="s">
        <v>57</v>
      </c>
      <c r="E54">
        <v>101119</v>
      </c>
      <c r="F54">
        <v>80958</v>
      </c>
      <c r="G54">
        <v>279.27</v>
      </c>
      <c r="H54">
        <v>5.26</v>
      </c>
      <c r="I54">
        <v>2.87</v>
      </c>
      <c r="J54">
        <v>10.94</v>
      </c>
      <c r="K54">
        <v>0</v>
      </c>
      <c r="L54">
        <v>100</v>
      </c>
      <c r="M54">
        <v>5.6800000000000003E-2</v>
      </c>
      <c r="N54">
        <v>3.39E-2</v>
      </c>
      <c r="O54">
        <v>180.14</v>
      </c>
      <c r="P54">
        <v>12923.15</v>
      </c>
      <c r="Q54" t="s">
        <v>65</v>
      </c>
      <c r="R54" t="s">
        <v>32</v>
      </c>
      <c r="S54" t="s">
        <v>66</v>
      </c>
      <c r="T54" t="s">
        <v>67</v>
      </c>
      <c r="U54" t="s">
        <v>35</v>
      </c>
      <c r="V54" t="s">
        <v>36</v>
      </c>
      <c r="W54" t="s">
        <v>37</v>
      </c>
      <c r="X54" t="s">
        <v>68</v>
      </c>
      <c r="Y54" t="s">
        <v>63</v>
      </c>
      <c r="Z54">
        <v>0</v>
      </c>
      <c r="AA54">
        <v>0</v>
      </c>
    </row>
    <row r="55" spans="1:27" x14ac:dyDescent="0.3">
      <c r="A55" t="s">
        <v>44</v>
      </c>
      <c r="B55" t="s">
        <v>61</v>
      </c>
      <c r="C55" t="s">
        <v>46</v>
      </c>
      <c r="D55" t="s">
        <v>30</v>
      </c>
      <c r="E55">
        <v>101059</v>
      </c>
      <c r="F55">
        <v>79978</v>
      </c>
      <c r="G55">
        <v>285.47000000000003</v>
      </c>
      <c r="H55">
        <v>4.3099999999999996</v>
      </c>
      <c r="I55">
        <v>2.74</v>
      </c>
      <c r="J55">
        <v>11.76</v>
      </c>
      <c r="K55">
        <v>0</v>
      </c>
      <c r="L55">
        <v>100</v>
      </c>
      <c r="M55">
        <v>6.1100000000000002E-2</v>
      </c>
      <c r="N55">
        <v>3.6299999999999999E-2</v>
      </c>
      <c r="O55">
        <v>144.16</v>
      </c>
      <c r="P55">
        <v>11892.13</v>
      </c>
      <c r="Q55" t="s">
        <v>65</v>
      </c>
      <c r="R55" t="s">
        <v>32</v>
      </c>
      <c r="S55" t="s">
        <v>66</v>
      </c>
      <c r="T55" t="s">
        <v>67</v>
      </c>
      <c r="U55" t="s">
        <v>35</v>
      </c>
      <c r="V55" t="s">
        <v>36</v>
      </c>
      <c r="W55" t="s">
        <v>37</v>
      </c>
      <c r="X55" t="s">
        <v>68</v>
      </c>
      <c r="Y55" t="s">
        <v>63</v>
      </c>
      <c r="Z55">
        <v>0</v>
      </c>
      <c r="AA55">
        <v>0</v>
      </c>
    </row>
    <row r="56" spans="1:27" x14ac:dyDescent="0.3">
      <c r="A56" t="s">
        <v>41</v>
      </c>
      <c r="B56" t="s">
        <v>64</v>
      </c>
      <c r="C56" t="s">
        <v>43</v>
      </c>
      <c r="D56" t="s">
        <v>30</v>
      </c>
      <c r="E56">
        <v>100795</v>
      </c>
      <c r="F56">
        <v>78138</v>
      </c>
      <c r="G56">
        <v>277.48</v>
      </c>
      <c r="H56">
        <v>4.93</v>
      </c>
      <c r="I56">
        <v>2.0499999999999998</v>
      </c>
      <c r="J56">
        <v>13.13</v>
      </c>
      <c r="K56">
        <v>0</v>
      </c>
      <c r="L56">
        <v>100</v>
      </c>
      <c r="M56">
        <v>5.8599999999999999E-2</v>
      </c>
      <c r="N56">
        <v>3.5499999999999997E-2</v>
      </c>
      <c r="O56">
        <v>109.19</v>
      </c>
      <c r="P56">
        <v>14827.84</v>
      </c>
      <c r="Q56" t="s">
        <v>65</v>
      </c>
      <c r="R56" t="s">
        <v>32</v>
      </c>
      <c r="S56" t="s">
        <v>66</v>
      </c>
      <c r="T56" t="s">
        <v>67</v>
      </c>
      <c r="U56" t="s">
        <v>35</v>
      </c>
      <c r="V56" t="s">
        <v>36</v>
      </c>
      <c r="W56" t="s">
        <v>37</v>
      </c>
      <c r="X56" t="s">
        <v>68</v>
      </c>
      <c r="Y56" t="s">
        <v>63</v>
      </c>
      <c r="Z56">
        <v>0</v>
      </c>
      <c r="AA56">
        <v>0</v>
      </c>
    </row>
    <row r="57" spans="1:27" x14ac:dyDescent="0.3">
      <c r="A57" t="s">
        <v>41</v>
      </c>
      <c r="B57" t="s">
        <v>72</v>
      </c>
      <c r="C57" t="s">
        <v>29</v>
      </c>
      <c r="D57" t="s">
        <v>30</v>
      </c>
      <c r="E57">
        <v>100749</v>
      </c>
      <c r="F57">
        <v>79521</v>
      </c>
      <c r="G57">
        <v>278.41000000000003</v>
      </c>
      <c r="H57">
        <v>5.85</v>
      </c>
      <c r="I57">
        <v>2.87</v>
      </c>
      <c r="J57">
        <v>11.22</v>
      </c>
      <c r="K57">
        <v>0</v>
      </c>
      <c r="L57">
        <v>100</v>
      </c>
      <c r="M57">
        <v>5.7500000000000002E-2</v>
      </c>
      <c r="N57">
        <v>3.3700000000000001E-2</v>
      </c>
      <c r="O57">
        <v>172.01</v>
      </c>
      <c r="P57">
        <v>12975.79</v>
      </c>
      <c r="Q57" t="s">
        <v>65</v>
      </c>
      <c r="R57" t="s">
        <v>32</v>
      </c>
      <c r="S57" t="s">
        <v>66</v>
      </c>
      <c r="T57" t="s">
        <v>67</v>
      </c>
      <c r="U57" t="s">
        <v>35</v>
      </c>
      <c r="V57" t="s">
        <v>36</v>
      </c>
      <c r="W57" t="s">
        <v>37</v>
      </c>
      <c r="X57" t="s">
        <v>68</v>
      </c>
      <c r="Y57" t="s">
        <v>63</v>
      </c>
      <c r="Z57">
        <v>0</v>
      </c>
      <c r="AA57">
        <v>0</v>
      </c>
    </row>
    <row r="58" spans="1:27" x14ac:dyDescent="0.3">
      <c r="A58" t="s">
        <v>51</v>
      </c>
      <c r="B58" t="s">
        <v>62</v>
      </c>
      <c r="C58" t="s">
        <v>53</v>
      </c>
      <c r="D58" t="s">
        <v>54</v>
      </c>
      <c r="E58">
        <v>100728</v>
      </c>
      <c r="F58">
        <v>80467</v>
      </c>
      <c r="G58">
        <v>280.39</v>
      </c>
      <c r="H58">
        <v>6.21</v>
      </c>
      <c r="I58">
        <v>4.92</v>
      </c>
      <c r="J58">
        <v>10.94</v>
      </c>
      <c r="K58">
        <v>0</v>
      </c>
      <c r="L58">
        <v>100</v>
      </c>
      <c r="M58">
        <v>6.0400000000000002E-2</v>
      </c>
      <c r="N58">
        <v>3.56E-2</v>
      </c>
      <c r="O58">
        <v>223.5</v>
      </c>
      <c r="P58">
        <v>14658.42</v>
      </c>
      <c r="Q58" t="s">
        <v>65</v>
      </c>
      <c r="R58" t="s">
        <v>32</v>
      </c>
      <c r="S58" t="s">
        <v>66</v>
      </c>
      <c r="T58" t="s">
        <v>67</v>
      </c>
      <c r="U58" t="s">
        <v>35</v>
      </c>
      <c r="V58" t="s">
        <v>36</v>
      </c>
      <c r="W58" t="s">
        <v>37</v>
      </c>
      <c r="X58" t="s">
        <v>68</v>
      </c>
      <c r="Y58" t="s">
        <v>63</v>
      </c>
      <c r="Z58">
        <v>0</v>
      </c>
      <c r="AA58">
        <v>0</v>
      </c>
    </row>
    <row r="59" spans="1:27" x14ac:dyDescent="0.3">
      <c r="A59" t="s">
        <v>51</v>
      </c>
      <c r="B59" t="s">
        <v>64</v>
      </c>
      <c r="C59" t="s">
        <v>43</v>
      </c>
      <c r="D59" t="s">
        <v>54</v>
      </c>
      <c r="E59">
        <v>100664</v>
      </c>
      <c r="F59">
        <v>80930</v>
      </c>
      <c r="G59">
        <v>277.69</v>
      </c>
      <c r="H59">
        <v>5.13</v>
      </c>
      <c r="I59">
        <v>3.69</v>
      </c>
      <c r="J59">
        <v>10.81</v>
      </c>
      <c r="K59">
        <v>0</v>
      </c>
      <c r="L59">
        <v>100</v>
      </c>
      <c r="M59">
        <v>6.0499999999999998E-2</v>
      </c>
      <c r="N59">
        <v>3.8399999999999997E-2</v>
      </c>
      <c r="O59">
        <v>167.01</v>
      </c>
      <c r="P59">
        <v>12586.09</v>
      </c>
      <c r="Q59" t="s">
        <v>65</v>
      </c>
      <c r="R59" t="s">
        <v>32</v>
      </c>
      <c r="S59" t="s">
        <v>66</v>
      </c>
      <c r="T59" t="s">
        <v>67</v>
      </c>
      <c r="U59" t="s">
        <v>35</v>
      </c>
      <c r="V59" t="s">
        <v>36</v>
      </c>
      <c r="W59" t="s">
        <v>37</v>
      </c>
      <c r="X59" t="s">
        <v>68</v>
      </c>
      <c r="Y59" t="s">
        <v>63</v>
      </c>
      <c r="Z59">
        <v>0</v>
      </c>
      <c r="AA59">
        <v>0</v>
      </c>
    </row>
    <row r="60" spans="1:27" x14ac:dyDescent="0.3">
      <c r="A60" t="s">
        <v>44</v>
      </c>
      <c r="B60" t="s">
        <v>72</v>
      </c>
      <c r="C60" t="s">
        <v>29</v>
      </c>
      <c r="D60" t="s">
        <v>30</v>
      </c>
      <c r="E60">
        <v>100601</v>
      </c>
      <c r="F60">
        <v>77677</v>
      </c>
      <c r="G60">
        <v>274.86</v>
      </c>
      <c r="H60">
        <v>4.8</v>
      </c>
      <c r="I60">
        <v>3.28</v>
      </c>
      <c r="J60">
        <v>11.08</v>
      </c>
      <c r="K60">
        <v>0</v>
      </c>
      <c r="L60">
        <v>100</v>
      </c>
      <c r="M60">
        <v>6.0199999999999997E-2</v>
      </c>
      <c r="N60">
        <v>3.7999999999999999E-2</v>
      </c>
      <c r="O60">
        <v>132.16999999999999</v>
      </c>
      <c r="P60">
        <v>12343.94</v>
      </c>
      <c r="Q60" t="s">
        <v>65</v>
      </c>
      <c r="R60" t="s">
        <v>32</v>
      </c>
      <c r="S60" t="s">
        <v>66</v>
      </c>
      <c r="T60" t="s">
        <v>67</v>
      </c>
      <c r="U60" t="s">
        <v>35</v>
      </c>
      <c r="V60" t="s">
        <v>36</v>
      </c>
      <c r="W60" t="s">
        <v>37</v>
      </c>
      <c r="X60" t="s">
        <v>68</v>
      </c>
      <c r="Y60" t="s">
        <v>63</v>
      </c>
      <c r="Z60">
        <v>0</v>
      </c>
      <c r="AA60">
        <v>0</v>
      </c>
    </row>
    <row r="61" spans="1:27" x14ac:dyDescent="0.3">
      <c r="A61" t="s">
        <v>55</v>
      </c>
      <c r="B61" t="s">
        <v>52</v>
      </c>
      <c r="C61" t="s">
        <v>53</v>
      </c>
      <c r="D61" t="s">
        <v>57</v>
      </c>
      <c r="E61">
        <v>100552</v>
      </c>
      <c r="F61">
        <v>81334</v>
      </c>
      <c r="G61">
        <v>272.64999999999998</v>
      </c>
      <c r="H61">
        <v>4.8099999999999996</v>
      </c>
      <c r="I61">
        <v>3.28</v>
      </c>
      <c r="J61">
        <v>10.81</v>
      </c>
      <c r="K61">
        <v>0</v>
      </c>
      <c r="L61">
        <v>100</v>
      </c>
      <c r="M61">
        <v>0.06</v>
      </c>
      <c r="N61">
        <v>3.5999999999999997E-2</v>
      </c>
      <c r="O61">
        <v>155.44999999999999</v>
      </c>
      <c r="P61">
        <v>10935.02</v>
      </c>
      <c r="Q61" t="s">
        <v>65</v>
      </c>
      <c r="R61" t="s">
        <v>32</v>
      </c>
      <c r="S61" t="s">
        <v>66</v>
      </c>
      <c r="T61" t="s">
        <v>67</v>
      </c>
      <c r="U61" t="s">
        <v>35</v>
      </c>
      <c r="V61" t="s">
        <v>36</v>
      </c>
      <c r="W61" t="s">
        <v>37</v>
      </c>
      <c r="X61" t="s">
        <v>68</v>
      </c>
      <c r="Y61" t="s">
        <v>63</v>
      </c>
      <c r="Z61">
        <v>0</v>
      </c>
      <c r="AA61">
        <v>0</v>
      </c>
    </row>
    <row r="62" spans="1:27" x14ac:dyDescent="0.3">
      <c r="A62" t="s">
        <v>27</v>
      </c>
      <c r="B62" t="s">
        <v>62</v>
      </c>
      <c r="C62" t="s">
        <v>53</v>
      </c>
      <c r="D62" t="s">
        <v>30</v>
      </c>
      <c r="E62">
        <v>100551</v>
      </c>
      <c r="F62">
        <v>82331</v>
      </c>
      <c r="G62">
        <v>281.5</v>
      </c>
      <c r="H62">
        <v>4.53</v>
      </c>
      <c r="I62">
        <v>3.69</v>
      </c>
      <c r="J62">
        <v>12.31</v>
      </c>
      <c r="K62">
        <v>0</v>
      </c>
      <c r="L62">
        <v>100</v>
      </c>
      <c r="M62">
        <v>6.1400000000000003E-2</v>
      </c>
      <c r="N62">
        <v>3.8300000000000001E-2</v>
      </c>
      <c r="O62">
        <v>210.32</v>
      </c>
      <c r="P62">
        <v>13085.21</v>
      </c>
      <c r="Q62" t="s">
        <v>65</v>
      </c>
      <c r="R62" t="s">
        <v>32</v>
      </c>
      <c r="S62" t="s">
        <v>66</v>
      </c>
      <c r="T62" t="s">
        <v>67</v>
      </c>
      <c r="U62" t="s">
        <v>35</v>
      </c>
      <c r="V62" t="s">
        <v>36</v>
      </c>
      <c r="W62" t="s">
        <v>37</v>
      </c>
      <c r="X62" t="s">
        <v>68</v>
      </c>
      <c r="Y62" t="s">
        <v>63</v>
      </c>
      <c r="Z62">
        <v>0</v>
      </c>
      <c r="AA62">
        <v>0</v>
      </c>
    </row>
    <row r="63" spans="1:27" x14ac:dyDescent="0.3">
      <c r="A63" t="s">
        <v>55</v>
      </c>
      <c r="B63" t="s">
        <v>47</v>
      </c>
      <c r="C63" t="s">
        <v>40</v>
      </c>
      <c r="D63" t="s">
        <v>57</v>
      </c>
      <c r="E63">
        <v>100529</v>
      </c>
      <c r="F63">
        <v>79853</v>
      </c>
      <c r="G63">
        <v>276.77</v>
      </c>
      <c r="H63">
        <v>5.13</v>
      </c>
      <c r="I63">
        <v>2.0499999999999998</v>
      </c>
      <c r="J63">
        <v>11.63</v>
      </c>
      <c r="K63">
        <v>0</v>
      </c>
      <c r="L63">
        <v>100</v>
      </c>
      <c r="M63">
        <v>5.8900000000000001E-2</v>
      </c>
      <c r="N63">
        <v>3.27E-2</v>
      </c>
      <c r="O63">
        <v>75.3</v>
      </c>
      <c r="P63">
        <v>14009.07</v>
      </c>
      <c r="Q63" t="s">
        <v>65</v>
      </c>
      <c r="R63" t="s">
        <v>32</v>
      </c>
      <c r="S63" t="s">
        <v>66</v>
      </c>
      <c r="T63" t="s">
        <v>67</v>
      </c>
      <c r="U63" t="s">
        <v>35</v>
      </c>
      <c r="V63" t="s">
        <v>36</v>
      </c>
      <c r="W63" t="s">
        <v>37</v>
      </c>
      <c r="X63" t="s">
        <v>68</v>
      </c>
      <c r="Y63" t="s">
        <v>63</v>
      </c>
      <c r="Z63">
        <v>0</v>
      </c>
      <c r="AA63">
        <v>0</v>
      </c>
    </row>
    <row r="64" spans="1:27" x14ac:dyDescent="0.3">
      <c r="A64" t="s">
        <v>27</v>
      </c>
      <c r="B64" t="s">
        <v>59</v>
      </c>
      <c r="C64" t="s">
        <v>53</v>
      </c>
      <c r="D64" t="s">
        <v>30</v>
      </c>
      <c r="E64">
        <v>100409</v>
      </c>
      <c r="F64">
        <v>78477</v>
      </c>
      <c r="G64">
        <v>273.18</v>
      </c>
      <c r="H64">
        <v>4.45</v>
      </c>
      <c r="I64">
        <v>3.01</v>
      </c>
      <c r="J64">
        <v>12.18</v>
      </c>
      <c r="K64">
        <v>0</v>
      </c>
      <c r="L64">
        <v>100</v>
      </c>
      <c r="M64">
        <v>5.9700000000000003E-2</v>
      </c>
      <c r="N64">
        <v>3.6700000000000003E-2</v>
      </c>
      <c r="O64">
        <v>129.43</v>
      </c>
      <c r="P64">
        <v>12344.67</v>
      </c>
      <c r="Q64" t="s">
        <v>65</v>
      </c>
      <c r="R64" t="s">
        <v>32</v>
      </c>
      <c r="S64" t="s">
        <v>66</v>
      </c>
      <c r="T64" t="s">
        <v>67</v>
      </c>
      <c r="U64" t="s">
        <v>35</v>
      </c>
      <c r="V64" t="s">
        <v>36</v>
      </c>
      <c r="W64" t="s">
        <v>37</v>
      </c>
      <c r="X64" t="s">
        <v>68</v>
      </c>
      <c r="Y64" t="s">
        <v>63</v>
      </c>
      <c r="Z64">
        <v>0</v>
      </c>
      <c r="AA64">
        <v>0</v>
      </c>
    </row>
    <row r="65" spans="1:27" x14ac:dyDescent="0.3">
      <c r="A65" t="s">
        <v>51</v>
      </c>
      <c r="B65" t="s">
        <v>48</v>
      </c>
      <c r="C65" t="s">
        <v>46</v>
      </c>
      <c r="D65" t="s">
        <v>54</v>
      </c>
      <c r="E65">
        <v>100309</v>
      </c>
      <c r="F65">
        <v>80003</v>
      </c>
      <c r="G65">
        <v>270.45</v>
      </c>
      <c r="H65">
        <v>4.6900000000000004</v>
      </c>
      <c r="I65">
        <v>3.56</v>
      </c>
      <c r="J65">
        <v>10.81</v>
      </c>
      <c r="K65">
        <v>0</v>
      </c>
      <c r="L65">
        <v>100</v>
      </c>
      <c r="M65">
        <v>5.9200000000000003E-2</v>
      </c>
      <c r="N65">
        <v>3.7100000000000001E-2</v>
      </c>
      <c r="O65">
        <v>199.03</v>
      </c>
      <c r="P65">
        <v>11518.58</v>
      </c>
      <c r="Q65" t="s">
        <v>65</v>
      </c>
      <c r="R65" t="s">
        <v>32</v>
      </c>
      <c r="S65" t="s">
        <v>66</v>
      </c>
      <c r="T65" t="s">
        <v>67</v>
      </c>
      <c r="U65" t="s">
        <v>35</v>
      </c>
      <c r="V65" t="s">
        <v>36</v>
      </c>
      <c r="W65" t="s">
        <v>37</v>
      </c>
      <c r="X65" t="s">
        <v>68</v>
      </c>
      <c r="Y65" t="s">
        <v>63</v>
      </c>
      <c r="Z65">
        <v>0</v>
      </c>
      <c r="AA65">
        <v>0</v>
      </c>
    </row>
    <row r="66" spans="1:27" x14ac:dyDescent="0.3">
      <c r="A66" t="s">
        <v>51</v>
      </c>
      <c r="B66" t="s">
        <v>69</v>
      </c>
      <c r="C66" t="s">
        <v>40</v>
      </c>
      <c r="D66" t="s">
        <v>54</v>
      </c>
      <c r="E66">
        <v>99798</v>
      </c>
      <c r="F66">
        <v>79004</v>
      </c>
      <c r="G66">
        <v>272.49</v>
      </c>
      <c r="H66">
        <v>5.01</v>
      </c>
      <c r="I66">
        <v>3.42</v>
      </c>
      <c r="J66">
        <v>11.22</v>
      </c>
      <c r="K66">
        <v>0</v>
      </c>
      <c r="L66">
        <v>100</v>
      </c>
      <c r="M66">
        <v>6.0999999999999999E-2</v>
      </c>
      <c r="N66">
        <v>3.6499999999999998E-2</v>
      </c>
      <c r="O66">
        <v>144.76</v>
      </c>
      <c r="P66">
        <v>14428.85</v>
      </c>
      <c r="Q66" t="s">
        <v>65</v>
      </c>
      <c r="R66" t="s">
        <v>32</v>
      </c>
      <c r="S66" t="s">
        <v>66</v>
      </c>
      <c r="T66" t="s">
        <v>67</v>
      </c>
      <c r="U66" t="s">
        <v>35</v>
      </c>
      <c r="V66" t="s">
        <v>36</v>
      </c>
      <c r="W66" t="s">
        <v>37</v>
      </c>
      <c r="X66" t="s">
        <v>68</v>
      </c>
      <c r="Y66" t="s">
        <v>63</v>
      </c>
      <c r="Z66">
        <v>0</v>
      </c>
      <c r="AA66">
        <v>0</v>
      </c>
    </row>
    <row r="67" spans="1:27" x14ac:dyDescent="0.3">
      <c r="A67" t="s">
        <v>41</v>
      </c>
      <c r="B67" t="s">
        <v>39</v>
      </c>
      <c r="C67" t="s">
        <v>40</v>
      </c>
      <c r="D67" t="s">
        <v>30</v>
      </c>
      <c r="E67">
        <v>99744</v>
      </c>
      <c r="F67">
        <v>81577</v>
      </c>
      <c r="G67">
        <v>285.64999999999998</v>
      </c>
      <c r="H67">
        <v>5.44</v>
      </c>
      <c r="I67">
        <v>2.33</v>
      </c>
      <c r="J67">
        <v>11.9</v>
      </c>
      <c r="K67">
        <v>0</v>
      </c>
      <c r="L67">
        <v>100</v>
      </c>
      <c r="M67">
        <v>6.13E-2</v>
      </c>
      <c r="N67">
        <v>3.6600000000000001E-2</v>
      </c>
      <c r="O67">
        <v>145.61000000000001</v>
      </c>
      <c r="P67">
        <v>14734.98</v>
      </c>
      <c r="Q67" t="s">
        <v>65</v>
      </c>
      <c r="R67" t="s">
        <v>32</v>
      </c>
      <c r="S67" t="s">
        <v>66</v>
      </c>
      <c r="T67" t="s">
        <v>67</v>
      </c>
      <c r="U67" t="s">
        <v>35</v>
      </c>
      <c r="V67" t="s">
        <v>36</v>
      </c>
      <c r="W67" t="s">
        <v>37</v>
      </c>
      <c r="X67" t="s">
        <v>68</v>
      </c>
      <c r="Y67" t="s">
        <v>63</v>
      </c>
      <c r="Z67">
        <v>0</v>
      </c>
      <c r="AA67">
        <v>0</v>
      </c>
    </row>
    <row r="68" spans="1:27" x14ac:dyDescent="0.3">
      <c r="A68" t="s">
        <v>27</v>
      </c>
      <c r="B68" t="s">
        <v>42</v>
      </c>
      <c r="C68" t="s">
        <v>43</v>
      </c>
      <c r="D68" t="s">
        <v>30</v>
      </c>
      <c r="E68">
        <v>99558</v>
      </c>
      <c r="F68">
        <v>80512</v>
      </c>
      <c r="G68">
        <v>272.26</v>
      </c>
      <c r="H68">
        <v>5.0999999999999996</v>
      </c>
      <c r="I68">
        <v>3.97</v>
      </c>
      <c r="J68">
        <v>11.08</v>
      </c>
      <c r="K68">
        <v>0</v>
      </c>
      <c r="L68">
        <v>100</v>
      </c>
      <c r="M68">
        <v>6.1199999999999997E-2</v>
      </c>
      <c r="N68">
        <v>3.8300000000000001E-2</v>
      </c>
      <c r="O68">
        <v>162.54</v>
      </c>
      <c r="P68">
        <v>10834.38</v>
      </c>
      <c r="Q68" t="s">
        <v>65</v>
      </c>
      <c r="R68" t="s">
        <v>32</v>
      </c>
      <c r="S68" t="s">
        <v>66</v>
      </c>
      <c r="T68" t="s">
        <v>67</v>
      </c>
      <c r="U68" t="s">
        <v>35</v>
      </c>
      <c r="V68" t="s">
        <v>36</v>
      </c>
      <c r="W68" t="s">
        <v>37</v>
      </c>
      <c r="X68" t="s">
        <v>68</v>
      </c>
      <c r="Y68" t="s">
        <v>63</v>
      </c>
      <c r="Z68">
        <v>0</v>
      </c>
      <c r="AA68">
        <v>0</v>
      </c>
    </row>
    <row r="69" spans="1:27" x14ac:dyDescent="0.3">
      <c r="A69" t="s">
        <v>55</v>
      </c>
      <c r="B69" t="s">
        <v>62</v>
      </c>
      <c r="C69" t="s">
        <v>53</v>
      </c>
      <c r="D69" t="s">
        <v>57</v>
      </c>
      <c r="E69">
        <v>99422</v>
      </c>
      <c r="F69">
        <v>81076</v>
      </c>
      <c r="G69">
        <v>265.29000000000002</v>
      </c>
      <c r="H69">
        <v>6</v>
      </c>
      <c r="I69">
        <v>4.0999999999999996</v>
      </c>
      <c r="J69">
        <v>11.49</v>
      </c>
      <c r="K69">
        <v>0</v>
      </c>
      <c r="L69">
        <v>100</v>
      </c>
      <c r="M69">
        <v>6.0600000000000001E-2</v>
      </c>
      <c r="N69">
        <v>3.61E-2</v>
      </c>
      <c r="O69">
        <v>174.21</v>
      </c>
      <c r="P69">
        <v>13557</v>
      </c>
      <c r="Q69" t="s">
        <v>65</v>
      </c>
      <c r="R69" t="s">
        <v>32</v>
      </c>
      <c r="S69" t="s">
        <v>66</v>
      </c>
      <c r="T69" t="s">
        <v>67</v>
      </c>
      <c r="U69" t="s">
        <v>35</v>
      </c>
      <c r="V69" t="s">
        <v>36</v>
      </c>
      <c r="W69" t="s">
        <v>37</v>
      </c>
      <c r="X69" t="s">
        <v>68</v>
      </c>
      <c r="Y69" t="s">
        <v>63</v>
      </c>
      <c r="Z69">
        <v>0</v>
      </c>
      <c r="AA69">
        <v>0</v>
      </c>
    </row>
    <row r="70" spans="1:27" x14ac:dyDescent="0.3">
      <c r="A70" t="s">
        <v>44</v>
      </c>
      <c r="B70" t="s">
        <v>28</v>
      </c>
      <c r="C70" t="s">
        <v>29</v>
      </c>
      <c r="D70" t="s">
        <v>30</v>
      </c>
      <c r="E70">
        <v>99145</v>
      </c>
      <c r="F70">
        <v>79341</v>
      </c>
      <c r="G70">
        <v>269.35000000000002</v>
      </c>
      <c r="H70">
        <v>4.3</v>
      </c>
      <c r="I70">
        <v>3.56</v>
      </c>
      <c r="J70">
        <v>8.2100000000000009</v>
      </c>
      <c r="K70">
        <v>0</v>
      </c>
      <c r="L70">
        <v>100</v>
      </c>
      <c r="M70">
        <v>6.1800000000000001E-2</v>
      </c>
      <c r="N70">
        <v>3.85E-2</v>
      </c>
      <c r="O70">
        <v>115.21</v>
      </c>
      <c r="P70">
        <v>9253.41</v>
      </c>
      <c r="Q70" t="s">
        <v>65</v>
      </c>
      <c r="R70" t="s">
        <v>32</v>
      </c>
      <c r="S70" t="s">
        <v>66</v>
      </c>
      <c r="T70" t="s">
        <v>67</v>
      </c>
      <c r="U70" t="s">
        <v>35</v>
      </c>
      <c r="V70" t="s">
        <v>36</v>
      </c>
      <c r="W70" t="s">
        <v>37</v>
      </c>
      <c r="X70" t="s">
        <v>68</v>
      </c>
      <c r="Y70" t="s">
        <v>63</v>
      </c>
      <c r="Z70">
        <v>0</v>
      </c>
      <c r="AA70">
        <v>0</v>
      </c>
    </row>
    <row r="71" spans="1:27" x14ac:dyDescent="0.3">
      <c r="A71" t="s">
        <v>44</v>
      </c>
      <c r="B71" t="s">
        <v>62</v>
      </c>
      <c r="C71" t="s">
        <v>53</v>
      </c>
      <c r="D71" t="s">
        <v>30</v>
      </c>
      <c r="E71">
        <v>99012</v>
      </c>
      <c r="F71">
        <v>79891</v>
      </c>
      <c r="G71">
        <v>272.55</v>
      </c>
      <c r="H71">
        <v>4.24</v>
      </c>
      <c r="I71">
        <v>3.42</v>
      </c>
      <c r="J71">
        <v>11.08</v>
      </c>
      <c r="K71">
        <v>0</v>
      </c>
      <c r="L71">
        <v>100</v>
      </c>
      <c r="M71">
        <v>6.1600000000000002E-2</v>
      </c>
      <c r="N71">
        <v>3.5999999999999997E-2</v>
      </c>
      <c r="O71">
        <v>124.32</v>
      </c>
      <c r="P71">
        <v>13714.24</v>
      </c>
      <c r="Q71" t="s">
        <v>65</v>
      </c>
      <c r="R71" t="s">
        <v>32</v>
      </c>
      <c r="S71" t="s">
        <v>66</v>
      </c>
      <c r="T71" t="s">
        <v>67</v>
      </c>
      <c r="U71" t="s">
        <v>35</v>
      </c>
      <c r="V71" t="s">
        <v>36</v>
      </c>
      <c r="W71" t="s">
        <v>37</v>
      </c>
      <c r="X71" t="s">
        <v>68</v>
      </c>
      <c r="Y71" t="s">
        <v>63</v>
      </c>
      <c r="Z71">
        <v>0</v>
      </c>
      <c r="AA71">
        <v>0</v>
      </c>
    </row>
    <row r="72" spans="1:27" x14ac:dyDescent="0.3">
      <c r="A72" t="s">
        <v>27</v>
      </c>
      <c r="B72" t="s">
        <v>70</v>
      </c>
      <c r="C72" t="s">
        <v>29</v>
      </c>
      <c r="D72" t="s">
        <v>30</v>
      </c>
      <c r="E72">
        <v>98836</v>
      </c>
      <c r="F72">
        <v>79109</v>
      </c>
      <c r="G72">
        <v>269.7</v>
      </c>
      <c r="H72">
        <v>6.26</v>
      </c>
      <c r="I72">
        <v>3.42</v>
      </c>
      <c r="J72">
        <v>11.49</v>
      </c>
      <c r="K72">
        <v>0</v>
      </c>
      <c r="L72">
        <v>100</v>
      </c>
      <c r="M72">
        <v>6.13E-2</v>
      </c>
      <c r="N72">
        <v>3.6299999999999999E-2</v>
      </c>
      <c r="O72">
        <v>101.69</v>
      </c>
      <c r="P72">
        <v>13134.18</v>
      </c>
      <c r="Q72" t="s">
        <v>65</v>
      </c>
      <c r="R72" t="s">
        <v>32</v>
      </c>
      <c r="S72" t="s">
        <v>66</v>
      </c>
      <c r="T72" t="s">
        <v>67</v>
      </c>
      <c r="U72" t="s">
        <v>35</v>
      </c>
      <c r="V72" t="s">
        <v>36</v>
      </c>
      <c r="W72" t="s">
        <v>37</v>
      </c>
      <c r="X72" t="s">
        <v>68</v>
      </c>
      <c r="Y72" t="s">
        <v>63</v>
      </c>
      <c r="Z72">
        <v>0</v>
      </c>
      <c r="AA72">
        <v>0</v>
      </c>
    </row>
    <row r="73" spans="1:27" x14ac:dyDescent="0.3">
      <c r="A73" t="s">
        <v>27</v>
      </c>
      <c r="B73" t="s">
        <v>69</v>
      </c>
      <c r="C73" t="s">
        <v>40</v>
      </c>
      <c r="D73" t="s">
        <v>30</v>
      </c>
      <c r="E73">
        <v>98724</v>
      </c>
      <c r="F73">
        <v>81130</v>
      </c>
      <c r="G73">
        <v>277.93</v>
      </c>
      <c r="H73">
        <v>5.66</v>
      </c>
      <c r="I73">
        <v>4.6500000000000004</v>
      </c>
      <c r="J73">
        <v>12.04</v>
      </c>
      <c r="K73">
        <v>0</v>
      </c>
      <c r="L73">
        <v>100</v>
      </c>
      <c r="M73">
        <v>6.1100000000000002E-2</v>
      </c>
      <c r="N73">
        <v>3.5200000000000002E-2</v>
      </c>
      <c r="O73">
        <v>268.06</v>
      </c>
      <c r="P73">
        <v>15829.56</v>
      </c>
      <c r="Q73" t="s">
        <v>65</v>
      </c>
      <c r="R73" t="s">
        <v>32</v>
      </c>
      <c r="S73" t="s">
        <v>66</v>
      </c>
      <c r="T73" t="s">
        <v>67</v>
      </c>
      <c r="U73" t="s">
        <v>35</v>
      </c>
      <c r="V73" t="s">
        <v>36</v>
      </c>
      <c r="W73" t="s">
        <v>37</v>
      </c>
      <c r="X73" t="s">
        <v>68</v>
      </c>
      <c r="Y73" t="s">
        <v>63</v>
      </c>
      <c r="Z73">
        <v>0</v>
      </c>
      <c r="AA73">
        <v>0</v>
      </c>
    </row>
    <row r="74" spans="1:27" x14ac:dyDescent="0.3">
      <c r="A74" t="s">
        <v>41</v>
      </c>
      <c r="B74" t="s">
        <v>69</v>
      </c>
      <c r="C74" t="s">
        <v>40</v>
      </c>
      <c r="D74" t="s">
        <v>30</v>
      </c>
      <c r="E74">
        <v>98488</v>
      </c>
      <c r="F74">
        <v>81529</v>
      </c>
      <c r="G74">
        <v>277.14</v>
      </c>
      <c r="H74">
        <v>4.83</v>
      </c>
      <c r="I74">
        <v>3.69</v>
      </c>
      <c r="J74">
        <v>13.13</v>
      </c>
      <c r="K74">
        <v>0</v>
      </c>
      <c r="L74">
        <v>100</v>
      </c>
      <c r="M74">
        <v>6.2E-2</v>
      </c>
      <c r="N74">
        <v>3.73E-2</v>
      </c>
      <c r="O74">
        <v>210.39</v>
      </c>
      <c r="P74">
        <v>12816.17</v>
      </c>
      <c r="Q74" t="s">
        <v>65</v>
      </c>
      <c r="R74" t="s">
        <v>32</v>
      </c>
      <c r="S74" t="s">
        <v>66</v>
      </c>
      <c r="T74" t="s">
        <v>67</v>
      </c>
      <c r="U74" t="s">
        <v>35</v>
      </c>
      <c r="V74" t="s">
        <v>36</v>
      </c>
      <c r="W74" t="s">
        <v>37</v>
      </c>
      <c r="X74" t="s">
        <v>68</v>
      </c>
      <c r="Y74" t="s">
        <v>63</v>
      </c>
      <c r="Z74">
        <v>0</v>
      </c>
      <c r="AA74">
        <v>0</v>
      </c>
    </row>
    <row r="75" spans="1:27" x14ac:dyDescent="0.3">
      <c r="A75" t="s">
        <v>51</v>
      </c>
      <c r="B75" t="s">
        <v>42</v>
      </c>
      <c r="C75" t="s">
        <v>43</v>
      </c>
      <c r="D75" t="s">
        <v>54</v>
      </c>
      <c r="E75">
        <v>98390</v>
      </c>
      <c r="F75">
        <v>78654</v>
      </c>
      <c r="G75">
        <v>270.73</v>
      </c>
      <c r="H75">
        <v>5.64</v>
      </c>
      <c r="I75">
        <v>4.0999999999999996</v>
      </c>
      <c r="J75">
        <v>11.22</v>
      </c>
      <c r="K75">
        <v>0</v>
      </c>
      <c r="L75">
        <v>100</v>
      </c>
      <c r="M75">
        <v>6.1600000000000002E-2</v>
      </c>
      <c r="N75">
        <v>3.78E-2</v>
      </c>
      <c r="O75">
        <v>238.57</v>
      </c>
      <c r="P75">
        <v>11514.58</v>
      </c>
      <c r="Q75" t="s">
        <v>65</v>
      </c>
      <c r="R75" t="s">
        <v>32</v>
      </c>
      <c r="S75" t="s">
        <v>66</v>
      </c>
      <c r="T75" t="s">
        <v>67</v>
      </c>
      <c r="U75" t="s">
        <v>35</v>
      </c>
      <c r="V75" t="s">
        <v>36</v>
      </c>
      <c r="W75" t="s">
        <v>37</v>
      </c>
      <c r="X75" t="s">
        <v>68</v>
      </c>
      <c r="Y75" t="s">
        <v>63</v>
      </c>
      <c r="Z75">
        <v>0</v>
      </c>
      <c r="AA75">
        <v>0</v>
      </c>
    </row>
    <row r="76" spans="1:27" x14ac:dyDescent="0.3">
      <c r="A76" t="s">
        <v>51</v>
      </c>
      <c r="B76" t="s">
        <v>49</v>
      </c>
      <c r="C76" t="s">
        <v>29</v>
      </c>
      <c r="D76" t="s">
        <v>54</v>
      </c>
      <c r="E76">
        <v>98371</v>
      </c>
      <c r="F76">
        <v>80735</v>
      </c>
      <c r="G76">
        <v>273.29000000000002</v>
      </c>
      <c r="H76">
        <v>4.6100000000000003</v>
      </c>
      <c r="I76">
        <v>4.6500000000000004</v>
      </c>
      <c r="J76">
        <v>11.35</v>
      </c>
      <c r="K76">
        <v>0</v>
      </c>
      <c r="L76">
        <v>100</v>
      </c>
      <c r="M76">
        <v>5.9299999999999999E-2</v>
      </c>
      <c r="N76">
        <v>3.3500000000000002E-2</v>
      </c>
      <c r="O76">
        <v>250.31</v>
      </c>
      <c r="P76">
        <v>11913.92</v>
      </c>
      <c r="Q76" t="s">
        <v>65</v>
      </c>
      <c r="R76" t="s">
        <v>32</v>
      </c>
      <c r="S76" t="s">
        <v>66</v>
      </c>
      <c r="T76" t="s">
        <v>67</v>
      </c>
      <c r="U76" t="s">
        <v>35</v>
      </c>
      <c r="V76" t="s">
        <v>36</v>
      </c>
      <c r="W76" t="s">
        <v>37</v>
      </c>
      <c r="X76" t="s">
        <v>68</v>
      </c>
      <c r="Y76" t="s">
        <v>63</v>
      </c>
      <c r="Z76">
        <v>0</v>
      </c>
      <c r="AA76">
        <v>0</v>
      </c>
    </row>
    <row r="77" spans="1:27" x14ac:dyDescent="0.3">
      <c r="A77" t="s">
        <v>44</v>
      </c>
      <c r="B77" t="s">
        <v>59</v>
      </c>
      <c r="C77" t="s">
        <v>53</v>
      </c>
      <c r="D77" t="s">
        <v>30</v>
      </c>
      <c r="E77">
        <v>98251</v>
      </c>
      <c r="F77">
        <v>79959</v>
      </c>
      <c r="G77">
        <v>272.16000000000003</v>
      </c>
      <c r="H77">
        <v>3.55</v>
      </c>
      <c r="I77">
        <v>3.56</v>
      </c>
      <c r="J77">
        <v>9.3000000000000007</v>
      </c>
      <c r="K77">
        <v>0</v>
      </c>
      <c r="L77">
        <v>100</v>
      </c>
      <c r="M77">
        <v>6.1800000000000001E-2</v>
      </c>
      <c r="N77">
        <v>3.9E-2</v>
      </c>
      <c r="O77">
        <v>169.7</v>
      </c>
      <c r="P77">
        <v>10029.35</v>
      </c>
      <c r="Q77" t="s">
        <v>65</v>
      </c>
      <c r="R77" t="s">
        <v>32</v>
      </c>
      <c r="S77" t="s">
        <v>66</v>
      </c>
      <c r="T77" t="s">
        <v>67</v>
      </c>
      <c r="U77" t="s">
        <v>35</v>
      </c>
      <c r="V77" t="s">
        <v>36</v>
      </c>
      <c r="W77" t="s">
        <v>37</v>
      </c>
      <c r="X77" t="s">
        <v>68</v>
      </c>
      <c r="Y77" t="s">
        <v>63</v>
      </c>
      <c r="Z77">
        <v>0</v>
      </c>
      <c r="AA77">
        <v>0</v>
      </c>
    </row>
    <row r="78" spans="1:27" x14ac:dyDescent="0.3">
      <c r="A78" t="s">
        <v>44</v>
      </c>
      <c r="B78" t="s">
        <v>50</v>
      </c>
      <c r="C78" t="s">
        <v>46</v>
      </c>
      <c r="D78" t="s">
        <v>30</v>
      </c>
      <c r="E78">
        <v>98116</v>
      </c>
      <c r="F78">
        <v>80266</v>
      </c>
      <c r="G78">
        <v>277.55</v>
      </c>
      <c r="H78">
        <v>4.2</v>
      </c>
      <c r="I78">
        <v>4.24</v>
      </c>
      <c r="J78">
        <v>10.26</v>
      </c>
      <c r="K78">
        <v>0</v>
      </c>
      <c r="L78">
        <v>100</v>
      </c>
      <c r="M78">
        <v>6.3399999999999998E-2</v>
      </c>
      <c r="N78">
        <v>4.2000000000000003E-2</v>
      </c>
      <c r="O78">
        <v>182.94</v>
      </c>
      <c r="P78">
        <v>11711.42</v>
      </c>
      <c r="Q78" t="s">
        <v>65</v>
      </c>
      <c r="R78" t="s">
        <v>32</v>
      </c>
      <c r="S78" t="s">
        <v>66</v>
      </c>
      <c r="T78" t="s">
        <v>67</v>
      </c>
      <c r="U78" t="s">
        <v>35</v>
      </c>
      <c r="V78" t="s">
        <v>36</v>
      </c>
      <c r="W78" t="s">
        <v>37</v>
      </c>
      <c r="X78" t="s">
        <v>68</v>
      </c>
      <c r="Y78" t="s">
        <v>63</v>
      </c>
      <c r="Z78">
        <v>0</v>
      </c>
      <c r="AA78">
        <v>0</v>
      </c>
    </row>
    <row r="79" spans="1:27" x14ac:dyDescent="0.3">
      <c r="A79" t="s">
        <v>27</v>
      </c>
      <c r="B79" t="s">
        <v>71</v>
      </c>
      <c r="C79" t="s">
        <v>29</v>
      </c>
      <c r="D79" t="s">
        <v>30</v>
      </c>
      <c r="E79">
        <v>98064</v>
      </c>
      <c r="F79">
        <v>80105</v>
      </c>
      <c r="G79">
        <v>270.77</v>
      </c>
      <c r="H79">
        <v>4.01</v>
      </c>
      <c r="I79">
        <v>3.69</v>
      </c>
      <c r="J79">
        <v>10.81</v>
      </c>
      <c r="K79">
        <v>0</v>
      </c>
      <c r="L79">
        <v>100</v>
      </c>
      <c r="M79">
        <v>6.2899999999999998E-2</v>
      </c>
      <c r="N79">
        <v>0.04</v>
      </c>
      <c r="O79">
        <v>167.17</v>
      </c>
      <c r="P79">
        <v>11500.97</v>
      </c>
      <c r="Q79" t="s">
        <v>65</v>
      </c>
      <c r="R79" t="s">
        <v>32</v>
      </c>
      <c r="S79" t="s">
        <v>66</v>
      </c>
      <c r="T79" t="s">
        <v>67</v>
      </c>
      <c r="U79" t="s">
        <v>35</v>
      </c>
      <c r="V79" t="s">
        <v>36</v>
      </c>
      <c r="W79" t="s">
        <v>37</v>
      </c>
      <c r="X79" t="s">
        <v>68</v>
      </c>
      <c r="Y79" t="s">
        <v>63</v>
      </c>
      <c r="Z79">
        <v>0</v>
      </c>
      <c r="AA79">
        <v>0</v>
      </c>
    </row>
    <row r="80" spans="1:27" x14ac:dyDescent="0.3">
      <c r="A80" t="s">
        <v>55</v>
      </c>
      <c r="B80" t="s">
        <v>49</v>
      </c>
      <c r="C80" t="s">
        <v>29</v>
      </c>
      <c r="D80" t="s">
        <v>57</v>
      </c>
      <c r="E80">
        <v>97864</v>
      </c>
      <c r="F80">
        <v>79100</v>
      </c>
      <c r="G80">
        <v>277.19</v>
      </c>
      <c r="H80">
        <v>4.55</v>
      </c>
      <c r="I80">
        <v>3.42</v>
      </c>
      <c r="J80">
        <v>11.76</v>
      </c>
      <c r="K80">
        <v>0</v>
      </c>
      <c r="L80">
        <v>100</v>
      </c>
      <c r="M80">
        <v>6.3200000000000006E-2</v>
      </c>
      <c r="N80">
        <v>4.1799999999999997E-2</v>
      </c>
      <c r="O80">
        <v>164.73</v>
      </c>
      <c r="P80">
        <v>12467.48</v>
      </c>
      <c r="Q80" t="s">
        <v>65</v>
      </c>
      <c r="R80" t="s">
        <v>32</v>
      </c>
      <c r="S80" t="s">
        <v>66</v>
      </c>
      <c r="T80" t="s">
        <v>67</v>
      </c>
      <c r="U80" t="s">
        <v>35</v>
      </c>
      <c r="V80" t="s">
        <v>36</v>
      </c>
      <c r="W80" t="s">
        <v>37</v>
      </c>
      <c r="X80" t="s">
        <v>68</v>
      </c>
      <c r="Y80" t="s">
        <v>63</v>
      </c>
      <c r="Z80">
        <v>0</v>
      </c>
      <c r="AA80">
        <v>0</v>
      </c>
    </row>
    <row r="81" spans="1:27" x14ac:dyDescent="0.3">
      <c r="A81" t="s">
        <v>27</v>
      </c>
      <c r="B81" t="s">
        <v>49</v>
      </c>
      <c r="C81" t="s">
        <v>29</v>
      </c>
      <c r="D81" t="s">
        <v>30</v>
      </c>
      <c r="E81">
        <v>97859</v>
      </c>
      <c r="F81">
        <v>81106</v>
      </c>
      <c r="G81">
        <v>274.70999999999998</v>
      </c>
      <c r="H81">
        <v>4.17</v>
      </c>
      <c r="I81">
        <v>2.74</v>
      </c>
      <c r="J81">
        <v>11.08</v>
      </c>
      <c r="K81">
        <v>0</v>
      </c>
      <c r="L81">
        <v>100</v>
      </c>
      <c r="M81">
        <v>6.1499999999999999E-2</v>
      </c>
      <c r="N81">
        <v>3.9100000000000003E-2</v>
      </c>
      <c r="O81">
        <v>138.15</v>
      </c>
      <c r="P81">
        <v>10607.57</v>
      </c>
      <c r="Q81" t="s">
        <v>65</v>
      </c>
      <c r="R81" t="s">
        <v>32</v>
      </c>
      <c r="S81" t="s">
        <v>66</v>
      </c>
      <c r="T81" t="s">
        <v>67</v>
      </c>
      <c r="U81" t="s">
        <v>35</v>
      </c>
      <c r="V81" t="s">
        <v>36</v>
      </c>
      <c r="W81" t="s">
        <v>37</v>
      </c>
      <c r="X81" t="s">
        <v>68</v>
      </c>
      <c r="Y81" t="s">
        <v>63</v>
      </c>
      <c r="Z81">
        <v>0</v>
      </c>
      <c r="AA81">
        <v>0</v>
      </c>
    </row>
    <row r="82" spans="1:27" x14ac:dyDescent="0.3">
      <c r="A82" t="s">
        <v>44</v>
      </c>
      <c r="B82" t="s">
        <v>56</v>
      </c>
      <c r="C82" t="s">
        <v>46</v>
      </c>
      <c r="D82" t="s">
        <v>30</v>
      </c>
      <c r="E82">
        <v>97418</v>
      </c>
      <c r="F82">
        <v>79821</v>
      </c>
      <c r="G82">
        <v>270.12</v>
      </c>
      <c r="H82">
        <v>5.5</v>
      </c>
      <c r="I82">
        <v>2.46</v>
      </c>
      <c r="J82">
        <v>10.81</v>
      </c>
      <c r="K82">
        <v>0</v>
      </c>
      <c r="L82">
        <v>100</v>
      </c>
      <c r="M82">
        <v>0.06</v>
      </c>
      <c r="N82">
        <v>3.2000000000000001E-2</v>
      </c>
      <c r="O82">
        <v>127.99</v>
      </c>
      <c r="P82">
        <v>10033.61</v>
      </c>
      <c r="Q82" t="s">
        <v>65</v>
      </c>
      <c r="R82" t="s">
        <v>32</v>
      </c>
      <c r="S82" t="s">
        <v>66</v>
      </c>
      <c r="T82" t="s">
        <v>67</v>
      </c>
      <c r="U82" t="s">
        <v>35</v>
      </c>
      <c r="V82" t="s">
        <v>36</v>
      </c>
      <c r="W82" t="s">
        <v>37</v>
      </c>
      <c r="X82" t="s">
        <v>68</v>
      </c>
      <c r="Y82" t="s">
        <v>63</v>
      </c>
      <c r="Z82">
        <v>0</v>
      </c>
      <c r="AA82">
        <v>0</v>
      </c>
    </row>
    <row r="83" spans="1:27" x14ac:dyDescent="0.3">
      <c r="A83" t="s">
        <v>44</v>
      </c>
      <c r="B83" t="s">
        <v>48</v>
      </c>
      <c r="C83" t="s">
        <v>46</v>
      </c>
      <c r="D83" t="s">
        <v>30</v>
      </c>
      <c r="E83">
        <v>96910</v>
      </c>
      <c r="F83">
        <v>78502</v>
      </c>
      <c r="G83">
        <v>271.08999999999997</v>
      </c>
      <c r="H83">
        <v>5.62</v>
      </c>
      <c r="I83">
        <v>3.15</v>
      </c>
      <c r="J83">
        <v>10.67</v>
      </c>
      <c r="K83">
        <v>0</v>
      </c>
      <c r="L83">
        <v>100</v>
      </c>
      <c r="M83">
        <v>6.2600000000000003E-2</v>
      </c>
      <c r="N83">
        <v>3.9300000000000002E-2</v>
      </c>
      <c r="O83">
        <v>207.24</v>
      </c>
      <c r="P83">
        <v>12263.58</v>
      </c>
      <c r="Q83" t="s">
        <v>65</v>
      </c>
      <c r="R83" t="s">
        <v>32</v>
      </c>
      <c r="S83" t="s">
        <v>66</v>
      </c>
      <c r="T83" t="s">
        <v>67</v>
      </c>
      <c r="U83" t="s">
        <v>35</v>
      </c>
      <c r="V83" t="s">
        <v>36</v>
      </c>
      <c r="W83" t="s">
        <v>37</v>
      </c>
      <c r="X83" t="s">
        <v>68</v>
      </c>
      <c r="Y83" t="s">
        <v>63</v>
      </c>
      <c r="Z83">
        <v>0</v>
      </c>
      <c r="AA83">
        <v>0</v>
      </c>
    </row>
    <row r="84" spans="1:27" x14ac:dyDescent="0.3">
      <c r="A84" t="s">
        <v>41</v>
      </c>
      <c r="B84" t="s">
        <v>28</v>
      </c>
      <c r="C84" t="s">
        <v>29</v>
      </c>
      <c r="D84" t="s">
        <v>30</v>
      </c>
      <c r="E84">
        <v>96852</v>
      </c>
      <c r="F84">
        <v>82007</v>
      </c>
      <c r="G84">
        <v>269.19</v>
      </c>
      <c r="H84">
        <v>4.55</v>
      </c>
      <c r="I84">
        <v>4.51</v>
      </c>
      <c r="J84">
        <v>12.72</v>
      </c>
      <c r="K84">
        <v>0</v>
      </c>
      <c r="L84">
        <v>100</v>
      </c>
      <c r="M84">
        <v>5.9499999999999997E-2</v>
      </c>
      <c r="N84">
        <v>3.5400000000000001E-2</v>
      </c>
      <c r="O84">
        <v>206.74</v>
      </c>
      <c r="P84">
        <v>12790.3</v>
      </c>
      <c r="Q84" t="s">
        <v>65</v>
      </c>
      <c r="R84" t="s">
        <v>32</v>
      </c>
      <c r="S84" t="s">
        <v>66</v>
      </c>
      <c r="T84" t="s">
        <v>67</v>
      </c>
      <c r="U84" t="s">
        <v>35</v>
      </c>
      <c r="V84" t="s">
        <v>36</v>
      </c>
      <c r="W84" t="s">
        <v>37</v>
      </c>
      <c r="X84" t="s">
        <v>68</v>
      </c>
      <c r="Y84" t="s">
        <v>63</v>
      </c>
      <c r="Z84">
        <v>0</v>
      </c>
      <c r="AA84">
        <v>0</v>
      </c>
    </row>
    <row r="85" spans="1:27" x14ac:dyDescent="0.3">
      <c r="A85" t="s">
        <v>55</v>
      </c>
      <c r="B85" t="s">
        <v>70</v>
      </c>
      <c r="C85" t="s">
        <v>29</v>
      </c>
      <c r="D85" t="s">
        <v>57</v>
      </c>
      <c r="E85">
        <v>96660</v>
      </c>
      <c r="F85">
        <v>77433</v>
      </c>
      <c r="G85">
        <v>269.94</v>
      </c>
      <c r="H85">
        <v>4.5</v>
      </c>
      <c r="I85">
        <v>4.92</v>
      </c>
      <c r="J85">
        <v>10.67</v>
      </c>
      <c r="K85">
        <v>0</v>
      </c>
      <c r="L85">
        <v>100</v>
      </c>
      <c r="M85">
        <v>6.4199999999999993E-2</v>
      </c>
      <c r="N85">
        <v>4.0800000000000003E-2</v>
      </c>
      <c r="O85">
        <v>277.27999999999997</v>
      </c>
      <c r="P85">
        <v>13673.36</v>
      </c>
      <c r="Q85" t="s">
        <v>65</v>
      </c>
      <c r="R85" t="s">
        <v>32</v>
      </c>
      <c r="S85" t="s">
        <v>66</v>
      </c>
      <c r="T85" t="s">
        <v>67</v>
      </c>
      <c r="U85" t="s">
        <v>35</v>
      </c>
      <c r="V85" t="s">
        <v>36</v>
      </c>
      <c r="W85" t="s">
        <v>37</v>
      </c>
      <c r="X85" t="s">
        <v>68</v>
      </c>
      <c r="Y85" t="s">
        <v>63</v>
      </c>
      <c r="Z85">
        <v>0</v>
      </c>
      <c r="AA85">
        <v>0</v>
      </c>
    </row>
    <row r="86" spans="1:27" x14ac:dyDescent="0.3">
      <c r="A86" t="s">
        <v>55</v>
      </c>
      <c r="B86" t="s">
        <v>71</v>
      </c>
      <c r="C86" t="s">
        <v>29</v>
      </c>
      <c r="D86" t="s">
        <v>57</v>
      </c>
      <c r="E86">
        <v>96507</v>
      </c>
      <c r="F86">
        <v>80435</v>
      </c>
      <c r="G86">
        <v>269.77999999999997</v>
      </c>
      <c r="H86">
        <v>4.4800000000000004</v>
      </c>
      <c r="I86">
        <v>3.83</v>
      </c>
      <c r="J86">
        <v>10.4</v>
      </c>
      <c r="K86">
        <v>0</v>
      </c>
      <c r="L86">
        <v>100</v>
      </c>
      <c r="M86">
        <v>6.3200000000000006E-2</v>
      </c>
      <c r="N86">
        <v>3.85E-2</v>
      </c>
      <c r="O86">
        <v>172.21</v>
      </c>
      <c r="P86">
        <v>12277.89</v>
      </c>
      <c r="Q86" t="s">
        <v>65</v>
      </c>
      <c r="R86" t="s">
        <v>32</v>
      </c>
      <c r="S86" t="s">
        <v>66</v>
      </c>
      <c r="T86" t="s">
        <v>67</v>
      </c>
      <c r="U86" t="s">
        <v>35</v>
      </c>
      <c r="V86" t="s">
        <v>36</v>
      </c>
      <c r="W86" t="s">
        <v>37</v>
      </c>
      <c r="X86" t="s">
        <v>68</v>
      </c>
      <c r="Y86" t="s">
        <v>63</v>
      </c>
      <c r="Z86">
        <v>0</v>
      </c>
      <c r="AA86">
        <v>0</v>
      </c>
    </row>
    <row r="87" spans="1:27" x14ac:dyDescent="0.3">
      <c r="A87" t="s">
        <v>44</v>
      </c>
      <c r="B87" t="s">
        <v>69</v>
      </c>
      <c r="C87" t="s">
        <v>40</v>
      </c>
      <c r="D87" t="s">
        <v>30</v>
      </c>
      <c r="E87">
        <v>96365</v>
      </c>
      <c r="F87">
        <v>82181</v>
      </c>
      <c r="G87">
        <v>267.10000000000002</v>
      </c>
      <c r="H87">
        <v>4.43</v>
      </c>
      <c r="I87">
        <v>3.97</v>
      </c>
      <c r="J87">
        <v>10.53</v>
      </c>
      <c r="K87">
        <v>0</v>
      </c>
      <c r="L87">
        <v>100</v>
      </c>
      <c r="M87">
        <v>6.1199999999999997E-2</v>
      </c>
      <c r="N87">
        <v>3.4000000000000002E-2</v>
      </c>
      <c r="O87">
        <v>180.46</v>
      </c>
      <c r="P87">
        <v>12756.41</v>
      </c>
      <c r="Q87" t="s">
        <v>65</v>
      </c>
      <c r="R87" t="s">
        <v>32</v>
      </c>
      <c r="S87" t="s">
        <v>66</v>
      </c>
      <c r="T87" t="s">
        <v>67</v>
      </c>
      <c r="U87" t="s">
        <v>35</v>
      </c>
      <c r="V87" t="s">
        <v>36</v>
      </c>
      <c r="W87" t="s">
        <v>37</v>
      </c>
      <c r="X87" t="s">
        <v>68</v>
      </c>
      <c r="Y87" t="s">
        <v>63</v>
      </c>
      <c r="Z87">
        <v>0</v>
      </c>
      <c r="AA87">
        <v>0</v>
      </c>
    </row>
    <row r="88" spans="1:27" x14ac:dyDescent="0.3">
      <c r="A88" t="s">
        <v>51</v>
      </c>
      <c r="B88" t="s">
        <v>47</v>
      </c>
      <c r="C88" t="s">
        <v>40</v>
      </c>
      <c r="D88" t="s">
        <v>54</v>
      </c>
      <c r="E88">
        <v>96327</v>
      </c>
      <c r="F88">
        <v>81608</v>
      </c>
      <c r="G88">
        <v>268.75</v>
      </c>
      <c r="H88">
        <v>5.19</v>
      </c>
      <c r="I88">
        <v>3.83</v>
      </c>
      <c r="J88">
        <v>11.49</v>
      </c>
      <c r="K88">
        <v>0</v>
      </c>
      <c r="L88">
        <v>100</v>
      </c>
      <c r="M88">
        <v>6.54E-2</v>
      </c>
      <c r="N88">
        <v>4.1300000000000003E-2</v>
      </c>
      <c r="O88">
        <v>235.3</v>
      </c>
      <c r="P88">
        <v>10780.81</v>
      </c>
      <c r="Q88" t="s">
        <v>65</v>
      </c>
      <c r="R88" t="s">
        <v>32</v>
      </c>
      <c r="S88" t="s">
        <v>66</v>
      </c>
      <c r="T88" t="s">
        <v>67</v>
      </c>
      <c r="U88" t="s">
        <v>35</v>
      </c>
      <c r="V88" t="s">
        <v>36</v>
      </c>
      <c r="W88" t="s">
        <v>37</v>
      </c>
      <c r="X88" t="s">
        <v>68</v>
      </c>
      <c r="Y88" t="s">
        <v>63</v>
      </c>
      <c r="Z88">
        <v>0</v>
      </c>
      <c r="AA88">
        <v>0</v>
      </c>
    </row>
    <row r="89" spans="1:27" x14ac:dyDescent="0.3">
      <c r="A89" t="s">
        <v>51</v>
      </c>
      <c r="B89" t="s">
        <v>70</v>
      </c>
      <c r="C89" t="s">
        <v>29</v>
      </c>
      <c r="D89" t="s">
        <v>54</v>
      </c>
      <c r="E89">
        <v>95814</v>
      </c>
      <c r="F89">
        <v>81321</v>
      </c>
      <c r="G89">
        <v>270.18</v>
      </c>
      <c r="H89">
        <v>6.68</v>
      </c>
      <c r="I89">
        <v>3.42</v>
      </c>
      <c r="J89">
        <v>13</v>
      </c>
      <c r="K89">
        <v>0</v>
      </c>
      <c r="L89">
        <v>100</v>
      </c>
      <c r="M89">
        <v>6.2700000000000006E-2</v>
      </c>
      <c r="N89">
        <v>3.9899999999999998E-2</v>
      </c>
      <c r="O89">
        <v>117.66</v>
      </c>
      <c r="P89">
        <v>17050.64</v>
      </c>
      <c r="Q89" t="s">
        <v>65</v>
      </c>
      <c r="R89" t="s">
        <v>32</v>
      </c>
      <c r="S89" t="s">
        <v>66</v>
      </c>
      <c r="T89" t="s">
        <v>67</v>
      </c>
      <c r="U89" t="s">
        <v>35</v>
      </c>
      <c r="V89" t="s">
        <v>36</v>
      </c>
      <c r="W89" t="s">
        <v>37</v>
      </c>
      <c r="X89" t="s">
        <v>68</v>
      </c>
      <c r="Y89" t="s">
        <v>63</v>
      </c>
      <c r="Z89">
        <v>0</v>
      </c>
      <c r="AA89">
        <v>0</v>
      </c>
    </row>
    <row r="90" spans="1:27" x14ac:dyDescent="0.3">
      <c r="A90" t="s">
        <v>27</v>
      </c>
      <c r="B90" t="s">
        <v>60</v>
      </c>
      <c r="C90" t="s">
        <v>46</v>
      </c>
      <c r="D90" t="s">
        <v>30</v>
      </c>
      <c r="E90">
        <v>95801</v>
      </c>
      <c r="F90">
        <v>80253</v>
      </c>
      <c r="G90">
        <v>268.33</v>
      </c>
      <c r="H90">
        <v>4.24</v>
      </c>
      <c r="I90">
        <v>3.15</v>
      </c>
      <c r="J90">
        <v>11.35</v>
      </c>
      <c r="K90">
        <v>0</v>
      </c>
      <c r="L90">
        <v>100</v>
      </c>
      <c r="M90">
        <v>6.4199999999999993E-2</v>
      </c>
      <c r="N90">
        <v>3.9800000000000002E-2</v>
      </c>
      <c r="O90">
        <v>177.4</v>
      </c>
      <c r="P90">
        <v>11085.85</v>
      </c>
      <c r="Q90" t="s">
        <v>65</v>
      </c>
      <c r="R90" t="s">
        <v>32</v>
      </c>
      <c r="S90" t="s">
        <v>66</v>
      </c>
      <c r="T90" t="s">
        <v>67</v>
      </c>
      <c r="U90" t="s">
        <v>35</v>
      </c>
      <c r="V90" t="s">
        <v>36</v>
      </c>
      <c r="W90" t="s">
        <v>37</v>
      </c>
      <c r="X90" t="s">
        <v>68</v>
      </c>
      <c r="Y90" t="s">
        <v>63</v>
      </c>
      <c r="Z90">
        <v>0</v>
      </c>
      <c r="AA90">
        <v>0</v>
      </c>
    </row>
    <row r="91" spans="1:27" x14ac:dyDescent="0.3">
      <c r="A91" t="s">
        <v>41</v>
      </c>
      <c r="B91" t="s">
        <v>58</v>
      </c>
      <c r="C91" t="s">
        <v>43</v>
      </c>
      <c r="D91" t="s">
        <v>30</v>
      </c>
      <c r="E91">
        <v>95789</v>
      </c>
      <c r="F91">
        <v>82711</v>
      </c>
      <c r="G91">
        <v>272.66000000000003</v>
      </c>
      <c r="H91">
        <v>5.29</v>
      </c>
      <c r="I91">
        <v>3.01</v>
      </c>
      <c r="J91">
        <v>11.63</v>
      </c>
      <c r="K91">
        <v>0</v>
      </c>
      <c r="L91">
        <v>100</v>
      </c>
      <c r="M91">
        <v>6.4199999999999993E-2</v>
      </c>
      <c r="N91">
        <v>4.1300000000000003E-2</v>
      </c>
      <c r="O91">
        <v>183.51</v>
      </c>
      <c r="P91">
        <v>12582.21</v>
      </c>
      <c r="Q91" t="s">
        <v>65</v>
      </c>
      <c r="R91" t="s">
        <v>32</v>
      </c>
      <c r="S91" t="s">
        <v>66</v>
      </c>
      <c r="T91" t="s">
        <v>67</v>
      </c>
      <c r="U91" t="s">
        <v>35</v>
      </c>
      <c r="V91" t="s">
        <v>36</v>
      </c>
      <c r="W91" t="s">
        <v>37</v>
      </c>
      <c r="X91" t="s">
        <v>68</v>
      </c>
      <c r="Y91" t="s">
        <v>63</v>
      </c>
      <c r="Z91">
        <v>0</v>
      </c>
      <c r="AA91">
        <v>0</v>
      </c>
    </row>
    <row r="92" spans="1:27" x14ac:dyDescent="0.3">
      <c r="A92" t="s">
        <v>41</v>
      </c>
      <c r="B92" t="s">
        <v>56</v>
      </c>
      <c r="C92" t="s">
        <v>46</v>
      </c>
      <c r="D92" t="s">
        <v>30</v>
      </c>
      <c r="E92">
        <v>95522</v>
      </c>
      <c r="F92">
        <v>77941</v>
      </c>
      <c r="G92">
        <v>272.95</v>
      </c>
      <c r="H92">
        <v>6.34</v>
      </c>
      <c r="I92">
        <v>4.0999999999999996</v>
      </c>
      <c r="J92">
        <v>12.45</v>
      </c>
      <c r="K92">
        <v>0</v>
      </c>
      <c r="L92">
        <v>100</v>
      </c>
      <c r="M92">
        <v>6.25E-2</v>
      </c>
      <c r="N92">
        <v>4.07E-2</v>
      </c>
      <c r="O92">
        <v>224.28</v>
      </c>
      <c r="P92">
        <v>11961.54</v>
      </c>
      <c r="Q92" t="s">
        <v>65</v>
      </c>
      <c r="R92" t="s">
        <v>32</v>
      </c>
      <c r="S92" t="s">
        <v>66</v>
      </c>
      <c r="T92" t="s">
        <v>67</v>
      </c>
      <c r="U92" t="s">
        <v>35</v>
      </c>
      <c r="V92" t="s">
        <v>36</v>
      </c>
      <c r="W92" t="s">
        <v>37</v>
      </c>
      <c r="X92" t="s">
        <v>68</v>
      </c>
      <c r="Y92" t="s">
        <v>63</v>
      </c>
      <c r="Z92">
        <v>0</v>
      </c>
      <c r="AA92">
        <v>0</v>
      </c>
    </row>
    <row r="93" spans="1:27" x14ac:dyDescent="0.3">
      <c r="A93" t="s">
        <v>51</v>
      </c>
      <c r="B93" t="s">
        <v>58</v>
      </c>
      <c r="C93" t="s">
        <v>43</v>
      </c>
      <c r="D93" t="s">
        <v>54</v>
      </c>
      <c r="E93">
        <v>95358</v>
      </c>
      <c r="F93">
        <v>80040</v>
      </c>
      <c r="G93">
        <v>269.37</v>
      </c>
      <c r="H93">
        <v>4.55</v>
      </c>
      <c r="I93">
        <v>3.83</v>
      </c>
      <c r="J93">
        <v>12.31</v>
      </c>
      <c r="K93">
        <v>0</v>
      </c>
      <c r="L93">
        <v>100</v>
      </c>
      <c r="M93">
        <v>6.5000000000000002E-2</v>
      </c>
      <c r="N93">
        <v>0.04</v>
      </c>
      <c r="O93">
        <v>181.16</v>
      </c>
      <c r="P93">
        <v>10735.25</v>
      </c>
      <c r="Q93" t="s">
        <v>65</v>
      </c>
      <c r="R93" t="s">
        <v>32</v>
      </c>
      <c r="S93" t="s">
        <v>66</v>
      </c>
      <c r="T93" t="s">
        <v>67</v>
      </c>
      <c r="U93" t="s">
        <v>35</v>
      </c>
      <c r="V93" t="s">
        <v>36</v>
      </c>
      <c r="W93" t="s">
        <v>37</v>
      </c>
      <c r="X93" t="s">
        <v>68</v>
      </c>
      <c r="Y93" t="s">
        <v>63</v>
      </c>
      <c r="Z93">
        <v>0</v>
      </c>
      <c r="AA93">
        <v>0</v>
      </c>
    </row>
    <row r="94" spans="1:27" x14ac:dyDescent="0.3">
      <c r="A94" t="s">
        <v>51</v>
      </c>
      <c r="B94" t="s">
        <v>72</v>
      </c>
      <c r="C94" t="s">
        <v>29</v>
      </c>
      <c r="D94" t="s">
        <v>54</v>
      </c>
      <c r="E94">
        <v>95309</v>
      </c>
      <c r="F94">
        <v>81120</v>
      </c>
      <c r="G94">
        <v>262.13</v>
      </c>
      <c r="H94">
        <v>4.33</v>
      </c>
      <c r="I94">
        <v>3.69</v>
      </c>
      <c r="J94">
        <v>10.53</v>
      </c>
      <c r="K94">
        <v>0</v>
      </c>
      <c r="L94">
        <v>100</v>
      </c>
      <c r="M94">
        <v>6.4799999999999996E-2</v>
      </c>
      <c r="N94">
        <v>3.9199999999999999E-2</v>
      </c>
      <c r="O94">
        <v>216.15</v>
      </c>
      <c r="P94">
        <v>10575.91</v>
      </c>
      <c r="Q94" t="s">
        <v>65</v>
      </c>
      <c r="R94" t="s">
        <v>32</v>
      </c>
      <c r="S94" t="s">
        <v>66</v>
      </c>
      <c r="T94" t="s">
        <v>67</v>
      </c>
      <c r="U94" t="s">
        <v>35</v>
      </c>
      <c r="V94" t="s">
        <v>36</v>
      </c>
      <c r="W94" t="s">
        <v>37</v>
      </c>
      <c r="X94" t="s">
        <v>68</v>
      </c>
      <c r="Y94" t="s">
        <v>63</v>
      </c>
      <c r="Z94">
        <v>0</v>
      </c>
      <c r="AA94">
        <v>0</v>
      </c>
    </row>
    <row r="95" spans="1:27" x14ac:dyDescent="0.3">
      <c r="A95" t="s">
        <v>55</v>
      </c>
      <c r="B95" t="s">
        <v>60</v>
      </c>
      <c r="C95" t="s">
        <v>46</v>
      </c>
      <c r="D95" t="s">
        <v>57</v>
      </c>
      <c r="E95">
        <v>94620</v>
      </c>
      <c r="F95">
        <v>82469</v>
      </c>
      <c r="G95">
        <v>274.68</v>
      </c>
      <c r="H95">
        <v>6.93</v>
      </c>
      <c r="I95">
        <v>2.33</v>
      </c>
      <c r="J95">
        <v>12.45</v>
      </c>
      <c r="K95">
        <v>0</v>
      </c>
      <c r="L95">
        <v>100</v>
      </c>
      <c r="M95">
        <v>6.2700000000000006E-2</v>
      </c>
      <c r="N95">
        <v>3.8399999999999997E-2</v>
      </c>
      <c r="O95">
        <v>107.95</v>
      </c>
      <c r="P95">
        <v>15930.59</v>
      </c>
      <c r="Q95" t="s">
        <v>65</v>
      </c>
      <c r="R95" t="s">
        <v>32</v>
      </c>
      <c r="S95" t="s">
        <v>66</v>
      </c>
      <c r="T95" t="s">
        <v>67</v>
      </c>
      <c r="U95" t="s">
        <v>35</v>
      </c>
      <c r="V95" t="s">
        <v>36</v>
      </c>
      <c r="W95" t="s">
        <v>37</v>
      </c>
      <c r="X95" t="s">
        <v>68</v>
      </c>
      <c r="Y95" t="s">
        <v>63</v>
      </c>
      <c r="Z95">
        <v>0</v>
      </c>
      <c r="AA95">
        <v>0</v>
      </c>
    </row>
    <row r="96" spans="1:27" x14ac:dyDescent="0.3">
      <c r="A96" t="s">
        <v>51</v>
      </c>
      <c r="B96" t="s">
        <v>45</v>
      </c>
      <c r="C96" t="s">
        <v>46</v>
      </c>
      <c r="D96" t="s">
        <v>54</v>
      </c>
      <c r="E96">
        <v>94436</v>
      </c>
      <c r="F96">
        <v>79488</v>
      </c>
      <c r="G96">
        <v>272.02</v>
      </c>
      <c r="H96">
        <v>4.49</v>
      </c>
      <c r="I96">
        <v>4.0999999999999996</v>
      </c>
      <c r="J96">
        <v>12.18</v>
      </c>
      <c r="K96">
        <v>0</v>
      </c>
      <c r="L96">
        <v>100</v>
      </c>
      <c r="M96">
        <v>6.5199999999999994E-2</v>
      </c>
      <c r="N96">
        <v>3.9699999999999999E-2</v>
      </c>
      <c r="O96">
        <v>218.3</v>
      </c>
      <c r="P96">
        <v>14306.19</v>
      </c>
      <c r="Q96" t="s">
        <v>65</v>
      </c>
      <c r="R96" t="s">
        <v>32</v>
      </c>
      <c r="S96" t="s">
        <v>66</v>
      </c>
      <c r="T96" t="s">
        <v>67</v>
      </c>
      <c r="U96" t="s">
        <v>35</v>
      </c>
      <c r="V96" t="s">
        <v>36</v>
      </c>
      <c r="W96" t="s">
        <v>37</v>
      </c>
      <c r="X96" t="s">
        <v>68</v>
      </c>
      <c r="Y96" t="s">
        <v>63</v>
      </c>
      <c r="Z96">
        <v>0</v>
      </c>
      <c r="AA96">
        <v>0</v>
      </c>
    </row>
    <row r="97" spans="1:27" x14ac:dyDescent="0.3">
      <c r="A97" t="s">
        <v>44</v>
      </c>
      <c r="B97" t="s">
        <v>49</v>
      </c>
      <c r="C97" t="s">
        <v>29</v>
      </c>
      <c r="D97" t="s">
        <v>30</v>
      </c>
      <c r="E97">
        <v>94225</v>
      </c>
      <c r="F97">
        <v>81837</v>
      </c>
      <c r="G97">
        <v>268.77</v>
      </c>
      <c r="H97">
        <v>4.1100000000000003</v>
      </c>
      <c r="I97">
        <v>4.92</v>
      </c>
      <c r="J97">
        <v>11.49</v>
      </c>
      <c r="K97">
        <v>0</v>
      </c>
      <c r="L97">
        <v>100</v>
      </c>
      <c r="M97">
        <v>6.4299999999999996E-2</v>
      </c>
      <c r="N97">
        <v>4.0300000000000002E-2</v>
      </c>
      <c r="O97">
        <v>204.42</v>
      </c>
      <c r="P97">
        <v>13591.7</v>
      </c>
      <c r="Q97" t="s">
        <v>65</v>
      </c>
      <c r="R97" t="s">
        <v>32</v>
      </c>
      <c r="S97" t="s">
        <v>66</v>
      </c>
      <c r="T97" t="s">
        <v>67</v>
      </c>
      <c r="U97" t="s">
        <v>35</v>
      </c>
      <c r="V97" t="s">
        <v>36</v>
      </c>
      <c r="W97" t="s">
        <v>37</v>
      </c>
      <c r="X97" t="s">
        <v>68</v>
      </c>
      <c r="Y97" t="s">
        <v>63</v>
      </c>
      <c r="Z97">
        <v>0</v>
      </c>
      <c r="AA97">
        <v>0</v>
      </c>
    </row>
    <row r="98" spans="1:27" x14ac:dyDescent="0.3">
      <c r="A98" t="s">
        <v>44</v>
      </c>
      <c r="B98" t="s">
        <v>58</v>
      </c>
      <c r="C98" t="s">
        <v>43</v>
      </c>
      <c r="D98" t="s">
        <v>30</v>
      </c>
      <c r="E98">
        <v>94143</v>
      </c>
      <c r="F98">
        <v>81381</v>
      </c>
      <c r="G98">
        <v>266.43</v>
      </c>
      <c r="H98">
        <v>6.2</v>
      </c>
      <c r="I98">
        <v>3.28</v>
      </c>
      <c r="J98">
        <v>11.08</v>
      </c>
      <c r="K98">
        <v>0</v>
      </c>
      <c r="L98">
        <v>100</v>
      </c>
      <c r="M98">
        <v>6.3299999999999995E-2</v>
      </c>
      <c r="N98">
        <v>3.9100000000000003E-2</v>
      </c>
      <c r="O98">
        <v>168.89</v>
      </c>
      <c r="P98">
        <v>13885.07</v>
      </c>
      <c r="Q98" t="s">
        <v>65</v>
      </c>
      <c r="R98" t="s">
        <v>32</v>
      </c>
      <c r="S98" t="s">
        <v>66</v>
      </c>
      <c r="T98" t="s">
        <v>67</v>
      </c>
      <c r="U98" t="s">
        <v>35</v>
      </c>
      <c r="V98" t="s">
        <v>36</v>
      </c>
      <c r="W98" t="s">
        <v>37</v>
      </c>
      <c r="X98" t="s">
        <v>68</v>
      </c>
      <c r="Y98" t="s">
        <v>63</v>
      </c>
      <c r="Z98">
        <v>0</v>
      </c>
      <c r="AA98">
        <v>0</v>
      </c>
    </row>
    <row r="99" spans="1:27" x14ac:dyDescent="0.3">
      <c r="A99" t="s">
        <v>51</v>
      </c>
      <c r="B99" t="s">
        <v>71</v>
      </c>
      <c r="C99" t="s">
        <v>29</v>
      </c>
      <c r="D99" t="s">
        <v>54</v>
      </c>
      <c r="E99">
        <v>94023</v>
      </c>
      <c r="F99">
        <v>80051</v>
      </c>
      <c r="G99">
        <v>267.56</v>
      </c>
      <c r="H99">
        <v>4.1500000000000004</v>
      </c>
      <c r="I99">
        <v>3.01</v>
      </c>
      <c r="J99">
        <v>12.45</v>
      </c>
      <c r="K99">
        <v>0</v>
      </c>
      <c r="L99">
        <v>100</v>
      </c>
      <c r="M99">
        <v>6.5100000000000005E-2</v>
      </c>
      <c r="N99">
        <v>4.4299999999999999E-2</v>
      </c>
      <c r="O99">
        <v>114.83</v>
      </c>
      <c r="P99">
        <v>11741.82</v>
      </c>
      <c r="Q99" t="s">
        <v>65</v>
      </c>
      <c r="R99" t="s">
        <v>32</v>
      </c>
      <c r="S99" t="s">
        <v>66</v>
      </c>
      <c r="T99" t="s">
        <v>67</v>
      </c>
      <c r="U99" t="s">
        <v>35</v>
      </c>
      <c r="V99" t="s">
        <v>36</v>
      </c>
      <c r="W99" t="s">
        <v>37</v>
      </c>
      <c r="X99" t="s">
        <v>68</v>
      </c>
      <c r="Y99" t="s">
        <v>63</v>
      </c>
      <c r="Z99">
        <v>0</v>
      </c>
      <c r="AA99">
        <v>0</v>
      </c>
    </row>
    <row r="100" spans="1:27" x14ac:dyDescent="0.3">
      <c r="A100" t="s">
        <v>41</v>
      </c>
      <c r="B100" t="s">
        <v>47</v>
      </c>
      <c r="C100" t="s">
        <v>40</v>
      </c>
      <c r="D100" t="s">
        <v>30</v>
      </c>
      <c r="E100">
        <v>93854</v>
      </c>
      <c r="F100">
        <v>78707</v>
      </c>
      <c r="G100">
        <v>266.76</v>
      </c>
      <c r="H100">
        <v>5.22</v>
      </c>
      <c r="I100">
        <v>2.87</v>
      </c>
      <c r="J100">
        <v>11.63</v>
      </c>
      <c r="K100">
        <v>0</v>
      </c>
      <c r="L100">
        <v>100</v>
      </c>
      <c r="M100">
        <v>6.2799999999999995E-2</v>
      </c>
      <c r="N100">
        <v>3.6200000000000003E-2</v>
      </c>
      <c r="O100">
        <v>121.36</v>
      </c>
      <c r="P100">
        <v>12266.59</v>
      </c>
      <c r="Q100" t="s">
        <v>65</v>
      </c>
      <c r="R100" t="s">
        <v>32</v>
      </c>
      <c r="S100" t="s">
        <v>66</v>
      </c>
      <c r="T100" t="s">
        <v>67</v>
      </c>
      <c r="U100" t="s">
        <v>35</v>
      </c>
      <c r="V100" t="s">
        <v>36</v>
      </c>
      <c r="W100" t="s">
        <v>37</v>
      </c>
      <c r="X100" t="s">
        <v>68</v>
      </c>
      <c r="Y100" t="s">
        <v>63</v>
      </c>
      <c r="Z100">
        <v>0</v>
      </c>
      <c r="AA100">
        <v>0</v>
      </c>
    </row>
    <row r="101" spans="1:27" x14ac:dyDescent="0.3">
      <c r="A101" t="s">
        <v>55</v>
      </c>
      <c r="B101" t="s">
        <v>45</v>
      </c>
      <c r="C101" t="s">
        <v>46</v>
      </c>
      <c r="D101" t="s">
        <v>57</v>
      </c>
      <c r="E101">
        <v>92556</v>
      </c>
      <c r="F101">
        <v>78777</v>
      </c>
      <c r="G101">
        <v>270.20999999999998</v>
      </c>
      <c r="H101">
        <v>6.85</v>
      </c>
      <c r="I101">
        <v>3.56</v>
      </c>
      <c r="J101">
        <v>12.86</v>
      </c>
      <c r="K101">
        <v>0</v>
      </c>
      <c r="L101">
        <v>100</v>
      </c>
      <c r="M101">
        <v>6.7400000000000002E-2</v>
      </c>
      <c r="N101">
        <v>4.0399999999999998E-2</v>
      </c>
      <c r="O101">
        <v>160.09</v>
      </c>
      <c r="P101">
        <v>14961.71</v>
      </c>
      <c r="Q101" t="s">
        <v>65</v>
      </c>
      <c r="R101" t="s">
        <v>32</v>
      </c>
      <c r="S101" t="s">
        <v>66</v>
      </c>
      <c r="T101" t="s">
        <v>67</v>
      </c>
      <c r="U101" t="s">
        <v>35</v>
      </c>
      <c r="V101" t="s">
        <v>36</v>
      </c>
      <c r="W101" t="s">
        <v>37</v>
      </c>
      <c r="X101" t="s">
        <v>68</v>
      </c>
      <c r="Y101" t="s">
        <v>63</v>
      </c>
      <c r="Z101">
        <v>0</v>
      </c>
      <c r="AA1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03FB-2267-44CA-9502-52DEC51EF0A4}">
  <dimension ref="A1:E11"/>
  <sheetViews>
    <sheetView workbookViewId="0"/>
  </sheetViews>
  <sheetFormatPr defaultRowHeight="14.4" x14ac:dyDescent="0.3"/>
  <cols>
    <col min="1" max="1" width="16.109375" bestFit="1" customWidth="1"/>
    <col min="2" max="2" width="21.109375" bestFit="1" customWidth="1"/>
    <col min="3" max="3" width="17.33203125" bestFit="1" customWidth="1"/>
    <col min="4" max="4" width="16.77734375" bestFit="1" customWidth="1"/>
    <col min="5" max="5" width="32.88671875" bestFit="1" customWidth="1"/>
  </cols>
  <sheetData>
    <row r="1" spans="1:5" x14ac:dyDescent="0.3">
      <c r="A1" t="s">
        <v>2</v>
      </c>
      <c r="B1" t="s">
        <v>23</v>
      </c>
      <c r="C1" t="s">
        <v>73</v>
      </c>
      <c r="D1" t="s">
        <v>4</v>
      </c>
      <c r="E1" t="s">
        <v>74</v>
      </c>
    </row>
    <row r="2" spans="1:5" x14ac:dyDescent="0.3">
      <c r="A2" t="s">
        <v>40</v>
      </c>
      <c r="B2" t="s">
        <v>38</v>
      </c>
      <c r="C2">
        <v>4</v>
      </c>
      <c r="D2">
        <v>394632</v>
      </c>
      <c r="E2">
        <v>49966.1</v>
      </c>
    </row>
    <row r="3" spans="1:5" x14ac:dyDescent="0.3">
      <c r="A3" t="s">
        <v>40</v>
      </c>
      <c r="B3" t="s">
        <v>68</v>
      </c>
      <c r="C3">
        <v>11</v>
      </c>
      <c r="D3">
        <v>1095447</v>
      </c>
      <c r="E3">
        <v>0</v>
      </c>
    </row>
    <row r="4" spans="1:5" x14ac:dyDescent="0.3">
      <c r="A4" t="s">
        <v>29</v>
      </c>
      <c r="B4" t="s">
        <v>38</v>
      </c>
      <c r="C4">
        <v>3</v>
      </c>
      <c r="D4">
        <v>301460</v>
      </c>
      <c r="E4">
        <v>38703.25</v>
      </c>
    </row>
    <row r="5" spans="1:5" x14ac:dyDescent="0.3">
      <c r="A5" t="s">
        <v>29</v>
      </c>
      <c r="B5" t="s">
        <v>68</v>
      </c>
      <c r="C5">
        <v>22</v>
      </c>
      <c r="D5">
        <v>2173838</v>
      </c>
      <c r="E5">
        <v>0</v>
      </c>
    </row>
    <row r="6" spans="1:5" x14ac:dyDescent="0.3">
      <c r="A6" t="s">
        <v>43</v>
      </c>
      <c r="B6" t="s">
        <v>38</v>
      </c>
      <c r="C6">
        <v>4</v>
      </c>
      <c r="D6">
        <v>394223</v>
      </c>
      <c r="E6">
        <v>47285.34</v>
      </c>
    </row>
    <row r="7" spans="1:5" x14ac:dyDescent="0.3">
      <c r="A7" t="s">
        <v>43</v>
      </c>
      <c r="B7" t="s">
        <v>68</v>
      </c>
      <c r="C7">
        <v>11</v>
      </c>
      <c r="D7">
        <v>1102973</v>
      </c>
      <c r="E7">
        <v>0</v>
      </c>
    </row>
    <row r="8" spans="1:5" x14ac:dyDescent="0.3">
      <c r="A8" t="s">
        <v>46</v>
      </c>
      <c r="B8" t="s">
        <v>38</v>
      </c>
      <c r="C8">
        <v>9</v>
      </c>
      <c r="D8">
        <v>891722</v>
      </c>
      <c r="E8">
        <v>107233.66</v>
      </c>
    </row>
    <row r="9" spans="1:5" x14ac:dyDescent="0.3">
      <c r="A9" t="s">
        <v>46</v>
      </c>
      <c r="B9" t="s">
        <v>68</v>
      </c>
      <c r="C9">
        <v>21</v>
      </c>
      <c r="D9">
        <v>2109488</v>
      </c>
      <c r="E9">
        <v>0</v>
      </c>
    </row>
    <row r="10" spans="1:5" x14ac:dyDescent="0.3">
      <c r="A10" t="s">
        <v>53</v>
      </c>
      <c r="B10" t="s">
        <v>38</v>
      </c>
      <c r="C10">
        <v>3</v>
      </c>
      <c r="D10">
        <v>295925</v>
      </c>
      <c r="E10">
        <v>37918.129999999997</v>
      </c>
    </row>
    <row r="11" spans="1:5" x14ac:dyDescent="0.3">
      <c r="A11" t="s">
        <v>53</v>
      </c>
      <c r="B11" t="s">
        <v>68</v>
      </c>
      <c r="C11">
        <v>12</v>
      </c>
      <c r="D11">
        <v>1215874</v>
      </c>
      <c r="E1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C953-8B51-495F-8F1B-FAE9FA977026}">
  <dimension ref="A1:G3"/>
  <sheetViews>
    <sheetView workbookViewId="0"/>
  </sheetViews>
  <sheetFormatPr defaultRowHeight="14.4" x14ac:dyDescent="0.3"/>
  <cols>
    <col min="1" max="1" width="21.109375" bestFit="1" customWidth="1"/>
    <col min="2" max="2" width="17.33203125" bestFit="1" customWidth="1"/>
    <col min="3" max="3" width="16.77734375" bestFit="1" customWidth="1"/>
    <col min="4" max="4" width="32.88671875" bestFit="1" customWidth="1"/>
    <col min="5" max="5" width="16.88671875" bestFit="1" customWidth="1"/>
    <col min="6" max="6" width="11.77734375" bestFit="1" customWidth="1"/>
    <col min="7" max="7" width="19.77734375" bestFit="1" customWidth="1"/>
  </cols>
  <sheetData>
    <row r="1" spans="1:7" x14ac:dyDescent="0.3">
      <c r="A1" t="s">
        <v>23</v>
      </c>
      <c r="B1" t="s">
        <v>73</v>
      </c>
      <c r="C1" t="s">
        <v>4</v>
      </c>
      <c r="D1" t="s">
        <v>74</v>
      </c>
      <c r="E1" t="s">
        <v>7</v>
      </c>
      <c r="F1" t="s">
        <v>75</v>
      </c>
      <c r="G1" t="s">
        <v>76</v>
      </c>
    </row>
    <row r="2" spans="1:7" x14ac:dyDescent="0.3">
      <c r="A2" t="s">
        <v>38</v>
      </c>
      <c r="B2">
        <v>23</v>
      </c>
      <c r="C2">
        <v>2277962</v>
      </c>
      <c r="D2">
        <v>281106.48</v>
      </c>
      <c r="E2">
        <v>12.11</v>
      </c>
      <c r="F2">
        <v>6.1499999999999999E-2</v>
      </c>
      <c r="G2">
        <v>100</v>
      </c>
    </row>
    <row r="3" spans="1:7" x14ac:dyDescent="0.3">
      <c r="A3" t="s">
        <v>68</v>
      </c>
      <c r="B3">
        <v>77</v>
      </c>
      <c r="C3">
        <v>7697620</v>
      </c>
      <c r="D3">
        <v>0</v>
      </c>
      <c r="E3">
        <v>5.07</v>
      </c>
      <c r="F3">
        <v>6.08E-2</v>
      </c>
      <c r="G3"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575B-3F52-4393-BEC2-71D4DDBAB638}">
  <dimension ref="A1:L2"/>
  <sheetViews>
    <sheetView workbookViewId="0"/>
  </sheetViews>
  <sheetFormatPr defaultRowHeight="14.4" x14ac:dyDescent="0.3"/>
  <cols>
    <col min="1" max="1" width="22.33203125" bestFit="1" customWidth="1"/>
    <col min="2" max="2" width="16.77734375" bestFit="1" customWidth="1"/>
    <col min="3" max="3" width="19.44140625" bestFit="1" customWidth="1"/>
    <col min="4" max="4" width="26.5546875" bestFit="1" customWidth="1"/>
    <col min="5" max="5" width="24.6640625" bestFit="1" customWidth="1"/>
    <col min="6" max="6" width="23.88671875" bestFit="1" customWidth="1"/>
    <col min="7" max="7" width="31" bestFit="1" customWidth="1"/>
    <col min="8" max="8" width="24.88671875" bestFit="1" customWidth="1"/>
    <col min="9" max="9" width="31.109375" bestFit="1" customWidth="1"/>
    <col min="10" max="10" width="25" bestFit="1" customWidth="1"/>
    <col min="11" max="11" width="32.21875" bestFit="1" customWidth="1"/>
    <col min="12" max="12" width="31.33203125" bestFit="1" customWidth="1"/>
  </cols>
  <sheetData>
    <row r="1" spans="1:12" x14ac:dyDescent="0.3">
      <c r="A1" t="s">
        <v>77</v>
      </c>
      <c r="B1" t="s">
        <v>4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 x14ac:dyDescent="0.3">
      <c r="A2">
        <v>100</v>
      </c>
      <c r="B2">
        <v>9975582</v>
      </c>
      <c r="C2">
        <v>23</v>
      </c>
      <c r="D2">
        <v>2277962</v>
      </c>
      <c r="E2">
        <v>281106.48</v>
      </c>
      <c r="F2">
        <v>0</v>
      </c>
      <c r="G2">
        <v>0</v>
      </c>
      <c r="H2">
        <v>0</v>
      </c>
      <c r="I2">
        <v>77</v>
      </c>
      <c r="J2">
        <v>21</v>
      </c>
      <c r="K2">
        <v>255307.98</v>
      </c>
      <c r="L2">
        <v>22.84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4B2-5D8E-41D1-BD83-4FA6C815DE1C}">
  <dimension ref="A1:O101"/>
  <sheetViews>
    <sheetView workbookViewId="0">
      <selection activeCell="G18" sqref="G18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7.88671875" bestFit="1" customWidth="1"/>
    <col min="7" max="7" width="29.6640625" bestFit="1" customWidth="1"/>
    <col min="8" max="8" width="16.88671875" bestFit="1" customWidth="1"/>
    <col min="9" max="9" width="15.6640625" bestFit="1" customWidth="1"/>
    <col min="10" max="10" width="7.77734375" bestFit="1" customWidth="1"/>
    <col min="11" max="11" width="14.21875" bestFit="1" customWidth="1"/>
    <col min="12" max="12" width="28.88671875" bestFit="1" customWidth="1"/>
    <col min="13" max="13" width="26.109375" bestFit="1" customWidth="1"/>
    <col min="14" max="14" width="21.109375" bestFit="1" customWidth="1"/>
    <col min="15" max="15" width="16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7</v>
      </c>
      <c r="I1" t="s">
        <v>11</v>
      </c>
      <c r="J1" t="s">
        <v>12</v>
      </c>
      <c r="K1" t="s">
        <v>16</v>
      </c>
      <c r="L1" t="s">
        <v>19</v>
      </c>
      <c r="M1" t="s">
        <v>21</v>
      </c>
      <c r="N1" t="s">
        <v>23</v>
      </c>
      <c r="O1" t="s">
        <v>24</v>
      </c>
    </row>
    <row r="2" spans="1:15" x14ac:dyDescent="0.3">
      <c r="A2" t="s">
        <v>27</v>
      </c>
      <c r="B2" t="s">
        <v>28</v>
      </c>
      <c r="C2" t="s">
        <v>29</v>
      </c>
      <c r="D2" t="s">
        <v>30</v>
      </c>
      <c r="E2">
        <v>99824</v>
      </c>
      <c r="F2">
        <v>14282.47</v>
      </c>
      <c r="G2">
        <v>0.1431</v>
      </c>
      <c r="H2">
        <v>20.12</v>
      </c>
      <c r="I2">
        <v>100</v>
      </c>
      <c r="J2">
        <v>6.0699999999999997E-2</v>
      </c>
      <c r="K2" t="s">
        <v>31</v>
      </c>
      <c r="L2" t="s">
        <v>34</v>
      </c>
      <c r="M2" t="s">
        <v>36</v>
      </c>
      <c r="N2" t="s">
        <v>38</v>
      </c>
      <c r="O2" t="s">
        <v>33</v>
      </c>
    </row>
    <row r="3" spans="1:15" x14ac:dyDescent="0.3">
      <c r="A3" t="s">
        <v>27</v>
      </c>
      <c r="B3" t="s">
        <v>39</v>
      </c>
      <c r="C3" t="s">
        <v>40</v>
      </c>
      <c r="D3" t="s">
        <v>30</v>
      </c>
      <c r="E3">
        <v>100358</v>
      </c>
      <c r="F3">
        <v>13528.13</v>
      </c>
      <c r="G3">
        <v>0.1348</v>
      </c>
      <c r="H3">
        <v>8.34</v>
      </c>
      <c r="I3">
        <v>100</v>
      </c>
      <c r="J3">
        <v>5.8500000000000003E-2</v>
      </c>
      <c r="K3" t="s">
        <v>31</v>
      </c>
      <c r="L3" t="s">
        <v>34</v>
      </c>
      <c r="M3" t="s">
        <v>36</v>
      </c>
      <c r="N3" t="s">
        <v>38</v>
      </c>
      <c r="O3" t="s">
        <v>33</v>
      </c>
    </row>
    <row r="4" spans="1:15" x14ac:dyDescent="0.3">
      <c r="A4" t="s">
        <v>41</v>
      </c>
      <c r="B4" t="s">
        <v>42</v>
      </c>
      <c r="C4" t="s">
        <v>43</v>
      </c>
      <c r="D4" t="s">
        <v>30</v>
      </c>
      <c r="E4">
        <v>96080</v>
      </c>
      <c r="F4">
        <v>13504.75</v>
      </c>
      <c r="G4">
        <v>0.1406</v>
      </c>
      <c r="H4">
        <v>8.11</v>
      </c>
      <c r="I4">
        <v>100</v>
      </c>
      <c r="J4">
        <v>6.2199999999999998E-2</v>
      </c>
      <c r="K4" t="s">
        <v>31</v>
      </c>
      <c r="L4" t="s">
        <v>34</v>
      </c>
      <c r="M4" t="s">
        <v>36</v>
      </c>
      <c r="N4" t="s">
        <v>38</v>
      </c>
      <c r="O4" t="s">
        <v>33</v>
      </c>
    </row>
    <row r="5" spans="1:15" x14ac:dyDescent="0.3">
      <c r="A5" t="s">
        <v>44</v>
      </c>
      <c r="B5" t="s">
        <v>45</v>
      </c>
      <c r="C5" t="s">
        <v>46</v>
      </c>
      <c r="D5" t="s">
        <v>30</v>
      </c>
      <c r="E5">
        <v>97227</v>
      </c>
      <c r="F5">
        <v>13377.17</v>
      </c>
      <c r="G5">
        <v>0.1376</v>
      </c>
      <c r="H5">
        <v>7.75</v>
      </c>
      <c r="I5">
        <v>100</v>
      </c>
      <c r="J5">
        <v>6.3100000000000003E-2</v>
      </c>
      <c r="K5" t="s">
        <v>31</v>
      </c>
      <c r="L5" t="s">
        <v>34</v>
      </c>
      <c r="M5" t="s">
        <v>36</v>
      </c>
      <c r="N5" t="s">
        <v>38</v>
      </c>
      <c r="O5" t="s">
        <v>33</v>
      </c>
    </row>
    <row r="6" spans="1:15" x14ac:dyDescent="0.3">
      <c r="A6" t="s">
        <v>27</v>
      </c>
      <c r="B6" t="s">
        <v>47</v>
      </c>
      <c r="C6" t="s">
        <v>40</v>
      </c>
      <c r="D6" t="s">
        <v>30</v>
      </c>
      <c r="E6">
        <v>98432</v>
      </c>
      <c r="F6">
        <v>13320.66</v>
      </c>
      <c r="G6">
        <v>0.1353</v>
      </c>
      <c r="H6">
        <v>17.079999999999998</v>
      </c>
      <c r="I6">
        <v>100</v>
      </c>
      <c r="J6">
        <v>6.3500000000000001E-2</v>
      </c>
      <c r="K6" t="s">
        <v>31</v>
      </c>
      <c r="L6" t="s">
        <v>34</v>
      </c>
      <c r="M6" t="s">
        <v>36</v>
      </c>
      <c r="N6" t="s">
        <v>38</v>
      </c>
      <c r="O6" t="s">
        <v>33</v>
      </c>
    </row>
    <row r="7" spans="1:15" x14ac:dyDescent="0.3">
      <c r="A7" t="s">
        <v>41</v>
      </c>
      <c r="B7" t="s">
        <v>48</v>
      </c>
      <c r="C7" t="s">
        <v>46</v>
      </c>
      <c r="D7" t="s">
        <v>30</v>
      </c>
      <c r="E7">
        <v>97318</v>
      </c>
      <c r="F7">
        <v>13259.79</v>
      </c>
      <c r="G7">
        <v>0.1363</v>
      </c>
      <c r="H7">
        <v>13.49</v>
      </c>
      <c r="I7">
        <v>100</v>
      </c>
      <c r="J7">
        <v>6.5500000000000003E-2</v>
      </c>
      <c r="K7" t="s">
        <v>31</v>
      </c>
      <c r="L7" t="s">
        <v>34</v>
      </c>
      <c r="M7" t="s">
        <v>36</v>
      </c>
      <c r="N7" t="s">
        <v>38</v>
      </c>
      <c r="O7" t="s">
        <v>33</v>
      </c>
    </row>
    <row r="8" spans="1:15" x14ac:dyDescent="0.3">
      <c r="A8" t="s">
        <v>41</v>
      </c>
      <c r="B8" t="s">
        <v>49</v>
      </c>
      <c r="C8" t="s">
        <v>29</v>
      </c>
      <c r="D8" t="s">
        <v>30</v>
      </c>
      <c r="E8">
        <v>100244</v>
      </c>
      <c r="F8">
        <v>13199.66</v>
      </c>
      <c r="G8">
        <v>0.13170000000000001</v>
      </c>
      <c r="H8">
        <v>14.16</v>
      </c>
      <c r="I8">
        <v>100</v>
      </c>
      <c r="J8">
        <v>6.0199999999999997E-2</v>
      </c>
      <c r="K8" t="s">
        <v>31</v>
      </c>
      <c r="L8" t="s">
        <v>34</v>
      </c>
      <c r="M8" t="s">
        <v>36</v>
      </c>
      <c r="N8" t="s">
        <v>38</v>
      </c>
      <c r="O8" t="s">
        <v>33</v>
      </c>
    </row>
    <row r="9" spans="1:15" x14ac:dyDescent="0.3">
      <c r="A9" t="s">
        <v>41</v>
      </c>
      <c r="B9" t="s">
        <v>50</v>
      </c>
      <c r="C9" t="s">
        <v>46</v>
      </c>
      <c r="D9" t="s">
        <v>30</v>
      </c>
      <c r="E9">
        <v>97131</v>
      </c>
      <c r="F9">
        <v>12771.46</v>
      </c>
      <c r="G9">
        <v>0.13150000000000001</v>
      </c>
      <c r="H9">
        <v>10.25</v>
      </c>
      <c r="I9">
        <v>100</v>
      </c>
      <c r="J9">
        <v>6.3799999999999996E-2</v>
      </c>
      <c r="K9" t="s">
        <v>31</v>
      </c>
      <c r="L9" t="s">
        <v>34</v>
      </c>
      <c r="M9" t="s">
        <v>36</v>
      </c>
      <c r="N9" t="s">
        <v>38</v>
      </c>
      <c r="O9" t="s">
        <v>33</v>
      </c>
    </row>
    <row r="10" spans="1:15" x14ac:dyDescent="0.3">
      <c r="A10" t="s">
        <v>51</v>
      </c>
      <c r="B10" t="s">
        <v>52</v>
      </c>
      <c r="C10" t="s">
        <v>53</v>
      </c>
      <c r="D10" t="s">
        <v>54</v>
      </c>
      <c r="E10">
        <v>99299</v>
      </c>
      <c r="F10">
        <v>12480.68</v>
      </c>
      <c r="G10">
        <v>0.12570000000000001</v>
      </c>
      <c r="H10">
        <v>7.42</v>
      </c>
      <c r="I10">
        <v>100</v>
      </c>
      <c r="J10">
        <v>5.9400000000000001E-2</v>
      </c>
      <c r="K10" t="s">
        <v>31</v>
      </c>
      <c r="L10" t="s">
        <v>34</v>
      </c>
      <c r="M10" t="s">
        <v>36</v>
      </c>
      <c r="N10" t="s">
        <v>38</v>
      </c>
      <c r="O10" t="s">
        <v>33</v>
      </c>
    </row>
    <row r="11" spans="1:15" x14ac:dyDescent="0.3">
      <c r="A11" t="s">
        <v>51</v>
      </c>
      <c r="B11" t="s">
        <v>50</v>
      </c>
      <c r="C11" t="s">
        <v>46</v>
      </c>
      <c r="D11" t="s">
        <v>54</v>
      </c>
      <c r="E11">
        <v>96049</v>
      </c>
      <c r="F11">
        <v>12341.92</v>
      </c>
      <c r="G11">
        <v>0.1285</v>
      </c>
      <c r="H11">
        <v>12.26</v>
      </c>
      <c r="I11">
        <v>100</v>
      </c>
      <c r="J11">
        <v>6.59E-2</v>
      </c>
      <c r="K11" t="s">
        <v>31</v>
      </c>
      <c r="L11" t="s">
        <v>34</v>
      </c>
      <c r="M11" t="s">
        <v>36</v>
      </c>
      <c r="N11" t="s">
        <v>38</v>
      </c>
      <c r="O11" t="s">
        <v>33</v>
      </c>
    </row>
    <row r="12" spans="1:15" x14ac:dyDescent="0.3">
      <c r="A12" t="s">
        <v>55</v>
      </c>
      <c r="B12" t="s">
        <v>56</v>
      </c>
      <c r="C12" t="s">
        <v>46</v>
      </c>
      <c r="D12" t="s">
        <v>57</v>
      </c>
      <c r="E12">
        <v>102173</v>
      </c>
      <c r="F12">
        <v>12309.92</v>
      </c>
      <c r="G12">
        <v>0.1205</v>
      </c>
      <c r="H12">
        <v>7.08</v>
      </c>
      <c r="I12">
        <v>100</v>
      </c>
      <c r="J12">
        <v>5.7599999999999998E-2</v>
      </c>
      <c r="K12" t="s">
        <v>31</v>
      </c>
      <c r="L12" t="s">
        <v>34</v>
      </c>
      <c r="M12" t="s">
        <v>36</v>
      </c>
      <c r="N12" t="s">
        <v>38</v>
      </c>
      <c r="O12" t="s">
        <v>33</v>
      </c>
    </row>
    <row r="13" spans="1:15" x14ac:dyDescent="0.3">
      <c r="A13" t="s">
        <v>55</v>
      </c>
      <c r="B13" t="s">
        <v>58</v>
      </c>
      <c r="C13" t="s">
        <v>43</v>
      </c>
      <c r="D13" t="s">
        <v>57</v>
      </c>
      <c r="E13">
        <v>104350</v>
      </c>
      <c r="F13">
        <v>12208.35</v>
      </c>
      <c r="G13">
        <v>0.11700000000000001</v>
      </c>
      <c r="H13">
        <v>9.42</v>
      </c>
      <c r="I13">
        <v>100</v>
      </c>
      <c r="J13">
        <v>5.6899999999999999E-2</v>
      </c>
      <c r="K13" t="s">
        <v>31</v>
      </c>
      <c r="L13" t="s">
        <v>34</v>
      </c>
      <c r="M13" t="s">
        <v>36</v>
      </c>
      <c r="N13" t="s">
        <v>38</v>
      </c>
      <c r="O13" t="s">
        <v>33</v>
      </c>
    </row>
    <row r="14" spans="1:15" x14ac:dyDescent="0.3">
      <c r="A14" t="s">
        <v>44</v>
      </c>
      <c r="B14" t="s">
        <v>39</v>
      </c>
      <c r="C14" t="s">
        <v>40</v>
      </c>
      <c r="D14" t="s">
        <v>30</v>
      </c>
      <c r="E14">
        <v>96719</v>
      </c>
      <c r="F14">
        <v>12183.34</v>
      </c>
      <c r="G14">
        <v>0.126</v>
      </c>
      <c r="H14">
        <v>8.68</v>
      </c>
      <c r="I14">
        <v>100</v>
      </c>
      <c r="J14">
        <v>6.4799999999999996E-2</v>
      </c>
      <c r="K14" t="s">
        <v>31</v>
      </c>
      <c r="L14" t="s">
        <v>34</v>
      </c>
      <c r="M14" t="s">
        <v>36</v>
      </c>
      <c r="N14" t="s">
        <v>38</v>
      </c>
      <c r="O14" t="s">
        <v>33</v>
      </c>
    </row>
    <row r="15" spans="1:15" x14ac:dyDescent="0.3">
      <c r="A15" t="s">
        <v>27</v>
      </c>
      <c r="B15" t="s">
        <v>56</v>
      </c>
      <c r="C15" t="s">
        <v>46</v>
      </c>
      <c r="D15" t="s">
        <v>30</v>
      </c>
      <c r="E15">
        <v>98871</v>
      </c>
      <c r="F15">
        <v>11691.84</v>
      </c>
      <c r="G15">
        <v>0.1183</v>
      </c>
      <c r="H15">
        <v>34.56</v>
      </c>
      <c r="I15">
        <v>100</v>
      </c>
      <c r="J15">
        <v>6.3E-2</v>
      </c>
      <c r="K15" t="s">
        <v>31</v>
      </c>
      <c r="L15" t="s">
        <v>34</v>
      </c>
      <c r="M15" t="s">
        <v>36</v>
      </c>
      <c r="N15" t="s">
        <v>38</v>
      </c>
      <c r="O15" t="s">
        <v>33</v>
      </c>
    </row>
    <row r="16" spans="1:15" x14ac:dyDescent="0.3">
      <c r="A16" t="s">
        <v>41</v>
      </c>
      <c r="B16" t="s">
        <v>59</v>
      </c>
      <c r="C16" t="s">
        <v>53</v>
      </c>
      <c r="D16" t="s">
        <v>30</v>
      </c>
      <c r="E16">
        <v>99870</v>
      </c>
      <c r="F16">
        <v>11664.42</v>
      </c>
      <c r="G16">
        <v>0.1168</v>
      </c>
      <c r="H16">
        <v>7.95</v>
      </c>
      <c r="I16">
        <v>100</v>
      </c>
      <c r="J16">
        <v>6.0100000000000001E-2</v>
      </c>
      <c r="K16" t="s">
        <v>31</v>
      </c>
      <c r="L16" t="s">
        <v>34</v>
      </c>
      <c r="M16" t="s">
        <v>36</v>
      </c>
      <c r="N16" t="s">
        <v>38</v>
      </c>
      <c r="O16" t="s">
        <v>33</v>
      </c>
    </row>
    <row r="17" spans="1:15" x14ac:dyDescent="0.3">
      <c r="A17" t="s">
        <v>55</v>
      </c>
      <c r="B17" t="s">
        <v>48</v>
      </c>
      <c r="C17" t="s">
        <v>46</v>
      </c>
      <c r="D17" t="s">
        <v>57</v>
      </c>
      <c r="E17">
        <v>105408</v>
      </c>
      <c r="F17">
        <v>11387.28</v>
      </c>
      <c r="G17">
        <v>0.108</v>
      </c>
      <c r="H17">
        <v>8.6300000000000008</v>
      </c>
      <c r="I17">
        <v>100</v>
      </c>
      <c r="J17">
        <v>5.7500000000000002E-2</v>
      </c>
      <c r="K17" t="s">
        <v>31</v>
      </c>
      <c r="L17" t="s">
        <v>34</v>
      </c>
      <c r="M17" t="s">
        <v>36</v>
      </c>
      <c r="N17" t="s">
        <v>38</v>
      </c>
      <c r="O17" t="s">
        <v>33</v>
      </c>
    </row>
    <row r="18" spans="1:15" x14ac:dyDescent="0.3">
      <c r="A18" t="s">
        <v>55</v>
      </c>
      <c r="B18" t="s">
        <v>28</v>
      </c>
      <c r="C18" t="s">
        <v>29</v>
      </c>
      <c r="D18" t="s">
        <v>57</v>
      </c>
      <c r="E18">
        <v>101392</v>
      </c>
      <c r="F18">
        <v>11221.12</v>
      </c>
      <c r="G18">
        <v>0.11070000000000001</v>
      </c>
      <c r="H18">
        <v>9.18</v>
      </c>
      <c r="I18">
        <v>100</v>
      </c>
      <c r="J18">
        <v>6.1199999999999997E-2</v>
      </c>
      <c r="K18" t="s">
        <v>31</v>
      </c>
      <c r="L18" t="s">
        <v>34</v>
      </c>
      <c r="M18" t="s">
        <v>36</v>
      </c>
      <c r="N18" t="s">
        <v>38</v>
      </c>
      <c r="O18" t="s">
        <v>33</v>
      </c>
    </row>
    <row r="19" spans="1:15" x14ac:dyDescent="0.3">
      <c r="A19" t="s">
        <v>51</v>
      </c>
      <c r="B19" t="s">
        <v>39</v>
      </c>
      <c r="C19" t="s">
        <v>40</v>
      </c>
      <c r="D19" t="s">
        <v>54</v>
      </c>
      <c r="E19">
        <v>99123</v>
      </c>
      <c r="F19">
        <v>10933.97</v>
      </c>
      <c r="G19">
        <v>0.1103</v>
      </c>
      <c r="H19">
        <v>8.26</v>
      </c>
      <c r="I19">
        <v>100</v>
      </c>
      <c r="J19">
        <v>6.0400000000000002E-2</v>
      </c>
      <c r="K19" t="s">
        <v>31</v>
      </c>
      <c r="L19" t="s">
        <v>34</v>
      </c>
      <c r="M19" t="s">
        <v>36</v>
      </c>
      <c r="N19" t="s">
        <v>38</v>
      </c>
      <c r="O19" t="s">
        <v>33</v>
      </c>
    </row>
    <row r="20" spans="1:15" x14ac:dyDescent="0.3">
      <c r="A20" t="s">
        <v>41</v>
      </c>
      <c r="B20" t="s">
        <v>60</v>
      </c>
      <c r="C20" t="s">
        <v>46</v>
      </c>
      <c r="D20" t="s">
        <v>30</v>
      </c>
      <c r="E20">
        <v>100371</v>
      </c>
      <c r="F20">
        <v>10490.08</v>
      </c>
      <c r="G20">
        <v>0.1045</v>
      </c>
      <c r="H20">
        <v>28.61</v>
      </c>
      <c r="I20">
        <v>100</v>
      </c>
      <c r="J20">
        <v>6.2399999999999997E-2</v>
      </c>
      <c r="K20" t="s">
        <v>31</v>
      </c>
      <c r="L20" t="s">
        <v>34</v>
      </c>
      <c r="M20" t="s">
        <v>36</v>
      </c>
      <c r="N20" t="s">
        <v>38</v>
      </c>
      <c r="O20" t="s">
        <v>33</v>
      </c>
    </row>
    <row r="21" spans="1:15" x14ac:dyDescent="0.3">
      <c r="A21" t="s">
        <v>41</v>
      </c>
      <c r="B21" t="s">
        <v>61</v>
      </c>
      <c r="C21" t="s">
        <v>46</v>
      </c>
      <c r="D21" t="s">
        <v>30</v>
      </c>
      <c r="E21">
        <v>97174</v>
      </c>
      <c r="F21">
        <v>9604.2000000000007</v>
      </c>
      <c r="G21">
        <v>9.8799999999999999E-2</v>
      </c>
      <c r="H21">
        <v>15.07</v>
      </c>
      <c r="I21">
        <v>100</v>
      </c>
      <c r="J21">
        <v>6.3600000000000004E-2</v>
      </c>
      <c r="K21" t="s">
        <v>31</v>
      </c>
      <c r="L21" t="s">
        <v>34</v>
      </c>
      <c r="M21" t="s">
        <v>36</v>
      </c>
      <c r="N21" t="s">
        <v>38</v>
      </c>
      <c r="O21" t="s">
        <v>33</v>
      </c>
    </row>
    <row r="22" spans="1:15" x14ac:dyDescent="0.3">
      <c r="A22" t="s">
        <v>27</v>
      </c>
      <c r="B22" t="s">
        <v>58</v>
      </c>
      <c r="C22" t="s">
        <v>43</v>
      </c>
      <c r="D22" t="s">
        <v>30</v>
      </c>
      <c r="E22">
        <v>98187</v>
      </c>
      <c r="F22">
        <v>9546.77</v>
      </c>
      <c r="G22">
        <v>9.7199999999999995E-2</v>
      </c>
      <c r="H22">
        <v>7.44</v>
      </c>
      <c r="I22">
        <v>100</v>
      </c>
      <c r="J22">
        <v>5.9499999999999997E-2</v>
      </c>
      <c r="K22" t="s">
        <v>31</v>
      </c>
      <c r="L22" t="s">
        <v>34</v>
      </c>
      <c r="M22" t="s">
        <v>36</v>
      </c>
      <c r="N22" t="s">
        <v>38</v>
      </c>
      <c r="O22" t="s">
        <v>33</v>
      </c>
    </row>
    <row r="23" spans="1:15" x14ac:dyDescent="0.3">
      <c r="A23" t="s">
        <v>41</v>
      </c>
      <c r="B23" t="s">
        <v>62</v>
      </c>
      <c r="C23" t="s">
        <v>53</v>
      </c>
      <c r="D23" t="s">
        <v>30</v>
      </c>
      <c r="E23">
        <v>96756</v>
      </c>
      <c r="F23">
        <v>13773.03</v>
      </c>
      <c r="G23">
        <v>0.14230000000000001</v>
      </c>
      <c r="H23">
        <v>7.05</v>
      </c>
      <c r="I23">
        <v>100</v>
      </c>
      <c r="J23">
        <v>6.0199999999999997E-2</v>
      </c>
      <c r="K23" t="s">
        <v>31</v>
      </c>
      <c r="L23" t="s">
        <v>34</v>
      </c>
      <c r="M23" t="s">
        <v>36</v>
      </c>
      <c r="N23" t="s">
        <v>38</v>
      </c>
      <c r="O23" t="s">
        <v>63</v>
      </c>
    </row>
    <row r="24" spans="1:15" x14ac:dyDescent="0.3">
      <c r="A24" t="s">
        <v>44</v>
      </c>
      <c r="B24" t="s">
        <v>64</v>
      </c>
      <c r="C24" t="s">
        <v>43</v>
      </c>
      <c r="D24" t="s">
        <v>30</v>
      </c>
      <c r="E24">
        <v>95606</v>
      </c>
      <c r="F24">
        <v>12025.47</v>
      </c>
      <c r="G24">
        <v>0.1258</v>
      </c>
      <c r="H24">
        <v>7.59</v>
      </c>
      <c r="I24">
        <v>100</v>
      </c>
      <c r="J24">
        <v>6.3500000000000001E-2</v>
      </c>
      <c r="K24" t="s">
        <v>31</v>
      </c>
      <c r="L24" t="s">
        <v>34</v>
      </c>
      <c r="M24" t="s">
        <v>36</v>
      </c>
      <c r="N24" t="s">
        <v>38</v>
      </c>
      <c r="O24" t="s">
        <v>63</v>
      </c>
    </row>
    <row r="25" spans="1:15" x14ac:dyDescent="0.3">
      <c r="A25" t="s">
        <v>27</v>
      </c>
      <c r="B25" t="s">
        <v>64</v>
      </c>
      <c r="C25" t="s">
        <v>43</v>
      </c>
      <c r="D25" t="s">
        <v>30</v>
      </c>
      <c r="E25">
        <v>109099</v>
      </c>
      <c r="F25">
        <v>0</v>
      </c>
      <c r="G25">
        <v>0</v>
      </c>
      <c r="H25">
        <v>4.04</v>
      </c>
      <c r="I25">
        <v>100</v>
      </c>
      <c r="J25">
        <v>5.7200000000000001E-2</v>
      </c>
      <c r="K25" t="s">
        <v>65</v>
      </c>
      <c r="L25" t="s">
        <v>67</v>
      </c>
      <c r="M25" t="s">
        <v>36</v>
      </c>
      <c r="N25" t="s">
        <v>68</v>
      </c>
      <c r="O25" t="s">
        <v>63</v>
      </c>
    </row>
    <row r="26" spans="1:15" x14ac:dyDescent="0.3">
      <c r="A26" t="s">
        <v>55</v>
      </c>
      <c r="B26" t="s">
        <v>50</v>
      </c>
      <c r="C26" t="s">
        <v>46</v>
      </c>
      <c r="D26" t="s">
        <v>57</v>
      </c>
      <c r="E26">
        <v>107479</v>
      </c>
      <c r="F26">
        <v>0</v>
      </c>
      <c r="G26">
        <v>0</v>
      </c>
      <c r="H26">
        <v>4.4000000000000004</v>
      </c>
      <c r="I26">
        <v>100</v>
      </c>
      <c r="J26">
        <v>5.57E-2</v>
      </c>
      <c r="K26" t="s">
        <v>65</v>
      </c>
      <c r="L26" t="s">
        <v>67</v>
      </c>
      <c r="M26" t="s">
        <v>36</v>
      </c>
      <c r="N26" t="s">
        <v>68</v>
      </c>
      <c r="O26" t="s">
        <v>63</v>
      </c>
    </row>
    <row r="27" spans="1:15" x14ac:dyDescent="0.3">
      <c r="A27" t="s">
        <v>44</v>
      </c>
      <c r="B27" t="s">
        <v>60</v>
      </c>
      <c r="C27" t="s">
        <v>46</v>
      </c>
      <c r="D27" t="s">
        <v>30</v>
      </c>
      <c r="E27">
        <v>105999</v>
      </c>
      <c r="F27">
        <v>0</v>
      </c>
      <c r="G27">
        <v>0</v>
      </c>
      <c r="H27">
        <v>4.28</v>
      </c>
      <c r="I27">
        <v>100</v>
      </c>
      <c r="J27">
        <v>5.5500000000000001E-2</v>
      </c>
      <c r="K27" t="s">
        <v>65</v>
      </c>
      <c r="L27" t="s">
        <v>67</v>
      </c>
      <c r="M27" t="s">
        <v>36</v>
      </c>
      <c r="N27" t="s">
        <v>68</v>
      </c>
      <c r="O27" t="s">
        <v>63</v>
      </c>
    </row>
    <row r="28" spans="1:15" x14ac:dyDescent="0.3">
      <c r="A28" t="s">
        <v>27</v>
      </c>
      <c r="B28" t="s">
        <v>45</v>
      </c>
      <c r="C28" t="s">
        <v>46</v>
      </c>
      <c r="D28" t="s">
        <v>30</v>
      </c>
      <c r="E28">
        <v>105667</v>
      </c>
      <c r="F28">
        <v>0</v>
      </c>
      <c r="G28">
        <v>0</v>
      </c>
      <c r="H28">
        <v>5.09</v>
      </c>
      <c r="I28">
        <v>100</v>
      </c>
      <c r="J28">
        <v>5.9200000000000003E-2</v>
      </c>
      <c r="K28" t="s">
        <v>65</v>
      </c>
      <c r="L28" t="s">
        <v>67</v>
      </c>
      <c r="M28" t="s">
        <v>36</v>
      </c>
      <c r="N28" t="s">
        <v>68</v>
      </c>
      <c r="O28" t="s">
        <v>63</v>
      </c>
    </row>
    <row r="29" spans="1:15" x14ac:dyDescent="0.3">
      <c r="A29" t="s">
        <v>44</v>
      </c>
      <c r="B29" t="s">
        <v>42</v>
      </c>
      <c r="C29" t="s">
        <v>43</v>
      </c>
      <c r="D29" t="s">
        <v>30</v>
      </c>
      <c r="E29">
        <v>105376</v>
      </c>
      <c r="F29">
        <v>0</v>
      </c>
      <c r="G29">
        <v>0</v>
      </c>
      <c r="H29">
        <v>3.81</v>
      </c>
      <c r="I29">
        <v>100</v>
      </c>
      <c r="J29">
        <v>5.8000000000000003E-2</v>
      </c>
      <c r="K29" t="s">
        <v>65</v>
      </c>
      <c r="L29" t="s">
        <v>67</v>
      </c>
      <c r="M29" t="s">
        <v>36</v>
      </c>
      <c r="N29" t="s">
        <v>68</v>
      </c>
      <c r="O29" t="s">
        <v>63</v>
      </c>
    </row>
    <row r="30" spans="1:15" x14ac:dyDescent="0.3">
      <c r="A30" t="s">
        <v>44</v>
      </c>
      <c r="B30" t="s">
        <v>52</v>
      </c>
      <c r="C30" t="s">
        <v>53</v>
      </c>
      <c r="D30" t="s">
        <v>30</v>
      </c>
      <c r="E30">
        <v>105343</v>
      </c>
      <c r="F30">
        <v>0</v>
      </c>
      <c r="G30">
        <v>0</v>
      </c>
      <c r="H30">
        <v>4.5199999999999996</v>
      </c>
      <c r="I30">
        <v>100</v>
      </c>
      <c r="J30">
        <v>5.7700000000000001E-2</v>
      </c>
      <c r="K30" t="s">
        <v>65</v>
      </c>
      <c r="L30" t="s">
        <v>67</v>
      </c>
      <c r="M30" t="s">
        <v>36</v>
      </c>
      <c r="N30" t="s">
        <v>68</v>
      </c>
      <c r="O30" t="s">
        <v>63</v>
      </c>
    </row>
    <row r="31" spans="1:15" x14ac:dyDescent="0.3">
      <c r="A31" t="s">
        <v>55</v>
      </c>
      <c r="B31" t="s">
        <v>59</v>
      </c>
      <c r="C31" t="s">
        <v>53</v>
      </c>
      <c r="D31" t="s">
        <v>57</v>
      </c>
      <c r="E31">
        <v>105188</v>
      </c>
      <c r="F31">
        <v>0</v>
      </c>
      <c r="G31">
        <v>0</v>
      </c>
      <c r="H31">
        <v>6.32</v>
      </c>
      <c r="I31">
        <v>100</v>
      </c>
      <c r="J31">
        <v>5.7700000000000001E-2</v>
      </c>
      <c r="K31" t="s">
        <v>65</v>
      </c>
      <c r="L31" t="s">
        <v>67</v>
      </c>
      <c r="M31" t="s">
        <v>36</v>
      </c>
      <c r="N31" t="s">
        <v>68</v>
      </c>
      <c r="O31" t="s">
        <v>63</v>
      </c>
    </row>
    <row r="32" spans="1:15" x14ac:dyDescent="0.3">
      <c r="A32" t="s">
        <v>51</v>
      </c>
      <c r="B32" t="s">
        <v>61</v>
      </c>
      <c r="C32" t="s">
        <v>46</v>
      </c>
      <c r="D32" t="s">
        <v>54</v>
      </c>
      <c r="E32">
        <v>104777</v>
      </c>
      <c r="F32">
        <v>0</v>
      </c>
      <c r="G32">
        <v>0</v>
      </c>
      <c r="H32">
        <v>4.67</v>
      </c>
      <c r="I32">
        <v>100</v>
      </c>
      <c r="J32">
        <v>5.6500000000000002E-2</v>
      </c>
      <c r="K32" t="s">
        <v>65</v>
      </c>
      <c r="L32" t="s">
        <v>67</v>
      </c>
      <c r="M32" t="s">
        <v>36</v>
      </c>
      <c r="N32" t="s">
        <v>68</v>
      </c>
      <c r="O32" t="s">
        <v>63</v>
      </c>
    </row>
    <row r="33" spans="1:15" x14ac:dyDescent="0.3">
      <c r="A33" t="s">
        <v>55</v>
      </c>
      <c r="B33" t="s">
        <v>39</v>
      </c>
      <c r="C33" t="s">
        <v>40</v>
      </c>
      <c r="D33" t="s">
        <v>57</v>
      </c>
      <c r="E33">
        <v>104566</v>
      </c>
      <c r="F33">
        <v>0</v>
      </c>
      <c r="G33">
        <v>0</v>
      </c>
      <c r="H33">
        <v>6.96</v>
      </c>
      <c r="I33">
        <v>100</v>
      </c>
      <c r="J33">
        <v>5.9900000000000002E-2</v>
      </c>
      <c r="K33" t="s">
        <v>65</v>
      </c>
      <c r="L33" t="s">
        <v>67</v>
      </c>
      <c r="M33" t="s">
        <v>36</v>
      </c>
      <c r="N33" t="s">
        <v>68</v>
      </c>
      <c r="O33" t="s">
        <v>63</v>
      </c>
    </row>
    <row r="34" spans="1:15" x14ac:dyDescent="0.3">
      <c r="A34" t="s">
        <v>55</v>
      </c>
      <c r="B34" t="s">
        <v>69</v>
      </c>
      <c r="C34" t="s">
        <v>40</v>
      </c>
      <c r="D34" t="s">
        <v>57</v>
      </c>
      <c r="E34">
        <v>104524</v>
      </c>
      <c r="F34">
        <v>0</v>
      </c>
      <c r="G34">
        <v>0</v>
      </c>
      <c r="H34">
        <v>5.08</v>
      </c>
      <c r="I34">
        <v>100</v>
      </c>
      <c r="J34">
        <v>6.13E-2</v>
      </c>
      <c r="K34" t="s">
        <v>65</v>
      </c>
      <c r="L34" t="s">
        <v>67</v>
      </c>
      <c r="M34" t="s">
        <v>36</v>
      </c>
      <c r="N34" t="s">
        <v>68</v>
      </c>
      <c r="O34" t="s">
        <v>63</v>
      </c>
    </row>
    <row r="35" spans="1:15" x14ac:dyDescent="0.3">
      <c r="A35" t="s">
        <v>51</v>
      </c>
      <c r="B35" t="s">
        <v>59</v>
      </c>
      <c r="C35" t="s">
        <v>53</v>
      </c>
      <c r="D35" t="s">
        <v>54</v>
      </c>
      <c r="E35">
        <v>103904</v>
      </c>
      <c r="F35">
        <v>0</v>
      </c>
      <c r="G35">
        <v>0</v>
      </c>
      <c r="H35">
        <v>6.62</v>
      </c>
      <c r="I35">
        <v>100</v>
      </c>
      <c r="J35">
        <v>5.6899999999999999E-2</v>
      </c>
      <c r="K35" t="s">
        <v>65</v>
      </c>
      <c r="L35" t="s">
        <v>67</v>
      </c>
      <c r="M35" t="s">
        <v>36</v>
      </c>
      <c r="N35" t="s">
        <v>68</v>
      </c>
      <c r="O35" t="s">
        <v>63</v>
      </c>
    </row>
    <row r="36" spans="1:15" x14ac:dyDescent="0.3">
      <c r="A36" t="s">
        <v>27</v>
      </c>
      <c r="B36" t="s">
        <v>48</v>
      </c>
      <c r="C36" t="s">
        <v>46</v>
      </c>
      <c r="D36" t="s">
        <v>30</v>
      </c>
      <c r="E36">
        <v>103703</v>
      </c>
      <c r="F36">
        <v>0</v>
      </c>
      <c r="G36">
        <v>0</v>
      </c>
      <c r="H36">
        <v>3.52</v>
      </c>
      <c r="I36">
        <v>100</v>
      </c>
      <c r="J36">
        <v>5.6800000000000003E-2</v>
      </c>
      <c r="K36" t="s">
        <v>65</v>
      </c>
      <c r="L36" t="s">
        <v>67</v>
      </c>
      <c r="M36" t="s">
        <v>36</v>
      </c>
      <c r="N36" t="s">
        <v>68</v>
      </c>
      <c r="O36" t="s">
        <v>63</v>
      </c>
    </row>
    <row r="37" spans="1:15" x14ac:dyDescent="0.3">
      <c r="A37" t="s">
        <v>55</v>
      </c>
      <c r="B37" t="s">
        <v>61</v>
      </c>
      <c r="C37" t="s">
        <v>46</v>
      </c>
      <c r="D37" t="s">
        <v>57</v>
      </c>
      <c r="E37">
        <v>103641</v>
      </c>
      <c r="F37">
        <v>0</v>
      </c>
      <c r="G37">
        <v>0</v>
      </c>
      <c r="H37">
        <v>6.25</v>
      </c>
      <c r="I37">
        <v>100</v>
      </c>
      <c r="J37">
        <v>5.7700000000000001E-2</v>
      </c>
      <c r="K37" t="s">
        <v>65</v>
      </c>
      <c r="L37" t="s">
        <v>67</v>
      </c>
      <c r="M37" t="s">
        <v>36</v>
      </c>
      <c r="N37" t="s">
        <v>68</v>
      </c>
      <c r="O37" t="s">
        <v>63</v>
      </c>
    </row>
    <row r="38" spans="1:15" x14ac:dyDescent="0.3">
      <c r="A38" t="s">
        <v>41</v>
      </c>
      <c r="B38" t="s">
        <v>45</v>
      </c>
      <c r="C38" t="s">
        <v>46</v>
      </c>
      <c r="D38" t="s">
        <v>30</v>
      </c>
      <c r="E38">
        <v>103393</v>
      </c>
      <c r="F38">
        <v>0</v>
      </c>
      <c r="G38">
        <v>0</v>
      </c>
      <c r="H38">
        <v>4.3899999999999997</v>
      </c>
      <c r="I38">
        <v>100</v>
      </c>
      <c r="J38">
        <v>5.8500000000000003E-2</v>
      </c>
      <c r="K38" t="s">
        <v>65</v>
      </c>
      <c r="L38" t="s">
        <v>67</v>
      </c>
      <c r="M38" t="s">
        <v>36</v>
      </c>
      <c r="N38" t="s">
        <v>68</v>
      </c>
      <c r="O38" t="s">
        <v>63</v>
      </c>
    </row>
    <row r="39" spans="1:15" x14ac:dyDescent="0.3">
      <c r="A39" t="s">
        <v>51</v>
      </c>
      <c r="B39" t="s">
        <v>56</v>
      </c>
      <c r="C39" t="s">
        <v>46</v>
      </c>
      <c r="D39" t="s">
        <v>54</v>
      </c>
      <c r="E39">
        <v>103147</v>
      </c>
      <c r="F39">
        <v>0</v>
      </c>
      <c r="G39">
        <v>0</v>
      </c>
      <c r="H39">
        <v>4.53</v>
      </c>
      <c r="I39">
        <v>100</v>
      </c>
      <c r="J39">
        <v>5.91E-2</v>
      </c>
      <c r="K39" t="s">
        <v>65</v>
      </c>
      <c r="L39" t="s">
        <v>67</v>
      </c>
      <c r="M39" t="s">
        <v>36</v>
      </c>
      <c r="N39" t="s">
        <v>68</v>
      </c>
      <c r="O39" t="s">
        <v>63</v>
      </c>
    </row>
    <row r="40" spans="1:15" x14ac:dyDescent="0.3">
      <c r="A40" t="s">
        <v>41</v>
      </c>
      <c r="B40" t="s">
        <v>70</v>
      </c>
      <c r="C40" t="s">
        <v>29</v>
      </c>
      <c r="D40" t="s">
        <v>30</v>
      </c>
      <c r="E40">
        <v>103001</v>
      </c>
      <c r="F40">
        <v>0</v>
      </c>
      <c r="G40">
        <v>0</v>
      </c>
      <c r="H40">
        <v>4.91</v>
      </c>
      <c r="I40">
        <v>100</v>
      </c>
      <c r="J40">
        <v>5.9499999999999997E-2</v>
      </c>
      <c r="K40" t="s">
        <v>65</v>
      </c>
      <c r="L40" t="s">
        <v>67</v>
      </c>
      <c r="M40" t="s">
        <v>36</v>
      </c>
      <c r="N40" t="s">
        <v>68</v>
      </c>
      <c r="O40" t="s">
        <v>63</v>
      </c>
    </row>
    <row r="41" spans="1:15" x14ac:dyDescent="0.3">
      <c r="A41" t="s">
        <v>55</v>
      </c>
      <c r="B41" t="s">
        <v>42</v>
      </c>
      <c r="C41" t="s">
        <v>43</v>
      </c>
      <c r="D41" t="s">
        <v>57</v>
      </c>
      <c r="E41">
        <v>102682</v>
      </c>
      <c r="F41">
        <v>0</v>
      </c>
      <c r="G41">
        <v>0</v>
      </c>
      <c r="H41">
        <v>4.5599999999999996</v>
      </c>
      <c r="I41">
        <v>100</v>
      </c>
      <c r="J41">
        <v>5.79E-2</v>
      </c>
      <c r="K41" t="s">
        <v>65</v>
      </c>
      <c r="L41" t="s">
        <v>67</v>
      </c>
      <c r="M41" t="s">
        <v>36</v>
      </c>
      <c r="N41" t="s">
        <v>68</v>
      </c>
      <c r="O41" t="s">
        <v>63</v>
      </c>
    </row>
    <row r="42" spans="1:15" x14ac:dyDescent="0.3">
      <c r="A42" t="s">
        <v>44</v>
      </c>
      <c r="B42" t="s">
        <v>47</v>
      </c>
      <c r="C42" t="s">
        <v>40</v>
      </c>
      <c r="D42" t="s">
        <v>30</v>
      </c>
      <c r="E42">
        <v>102528</v>
      </c>
      <c r="F42">
        <v>0</v>
      </c>
      <c r="G42">
        <v>0</v>
      </c>
      <c r="H42">
        <v>4.8</v>
      </c>
      <c r="I42">
        <v>100</v>
      </c>
      <c r="J42">
        <v>5.9900000000000002E-2</v>
      </c>
      <c r="K42" t="s">
        <v>65</v>
      </c>
      <c r="L42" t="s">
        <v>67</v>
      </c>
      <c r="M42" t="s">
        <v>36</v>
      </c>
      <c r="N42" t="s">
        <v>68</v>
      </c>
      <c r="O42" t="s">
        <v>63</v>
      </c>
    </row>
    <row r="43" spans="1:15" x14ac:dyDescent="0.3">
      <c r="A43" t="s">
        <v>44</v>
      </c>
      <c r="B43" t="s">
        <v>71</v>
      </c>
      <c r="C43" t="s">
        <v>29</v>
      </c>
      <c r="D43" t="s">
        <v>30</v>
      </c>
      <c r="E43">
        <v>102482</v>
      </c>
      <c r="F43">
        <v>0</v>
      </c>
      <c r="G43">
        <v>0</v>
      </c>
      <c r="H43">
        <v>4.13</v>
      </c>
      <c r="I43">
        <v>100</v>
      </c>
      <c r="J43">
        <v>5.7799999999999997E-2</v>
      </c>
      <c r="K43" t="s">
        <v>65</v>
      </c>
      <c r="L43" t="s">
        <v>67</v>
      </c>
      <c r="M43" t="s">
        <v>36</v>
      </c>
      <c r="N43" t="s">
        <v>68</v>
      </c>
      <c r="O43" t="s">
        <v>63</v>
      </c>
    </row>
    <row r="44" spans="1:15" x14ac:dyDescent="0.3">
      <c r="A44" t="s">
        <v>51</v>
      </c>
      <c r="B44" t="s">
        <v>28</v>
      </c>
      <c r="C44" t="s">
        <v>29</v>
      </c>
      <c r="D44" t="s">
        <v>54</v>
      </c>
      <c r="E44">
        <v>102149</v>
      </c>
      <c r="F44">
        <v>0</v>
      </c>
      <c r="G44">
        <v>0</v>
      </c>
      <c r="H44">
        <v>6.71</v>
      </c>
      <c r="I44">
        <v>100</v>
      </c>
      <c r="J44">
        <v>6.0499999999999998E-2</v>
      </c>
      <c r="K44" t="s">
        <v>65</v>
      </c>
      <c r="L44" t="s">
        <v>67</v>
      </c>
      <c r="M44" t="s">
        <v>36</v>
      </c>
      <c r="N44" t="s">
        <v>68</v>
      </c>
      <c r="O44" t="s">
        <v>63</v>
      </c>
    </row>
    <row r="45" spans="1:15" x14ac:dyDescent="0.3">
      <c r="A45" t="s">
        <v>27</v>
      </c>
      <c r="B45" t="s">
        <v>50</v>
      </c>
      <c r="C45" t="s">
        <v>46</v>
      </c>
      <c r="D45" t="s">
        <v>30</v>
      </c>
      <c r="E45">
        <v>101844</v>
      </c>
      <c r="F45">
        <v>0</v>
      </c>
      <c r="G45">
        <v>0</v>
      </c>
      <c r="H45">
        <v>6.55</v>
      </c>
      <c r="I45">
        <v>100</v>
      </c>
      <c r="J45">
        <v>6.0699999999999997E-2</v>
      </c>
      <c r="K45" t="s">
        <v>65</v>
      </c>
      <c r="L45" t="s">
        <v>67</v>
      </c>
      <c r="M45" t="s">
        <v>36</v>
      </c>
      <c r="N45" t="s">
        <v>68</v>
      </c>
      <c r="O45" t="s">
        <v>63</v>
      </c>
    </row>
    <row r="46" spans="1:15" x14ac:dyDescent="0.3">
      <c r="A46" t="s">
        <v>27</v>
      </c>
      <c r="B46" t="s">
        <v>61</v>
      </c>
      <c r="C46" t="s">
        <v>46</v>
      </c>
      <c r="D46" t="s">
        <v>30</v>
      </c>
      <c r="E46">
        <v>101821</v>
      </c>
      <c r="F46">
        <v>0</v>
      </c>
      <c r="G46">
        <v>0</v>
      </c>
      <c r="H46">
        <v>5.93</v>
      </c>
      <c r="I46">
        <v>100</v>
      </c>
      <c r="J46">
        <v>5.8700000000000002E-2</v>
      </c>
      <c r="K46" t="s">
        <v>65</v>
      </c>
      <c r="L46" t="s">
        <v>67</v>
      </c>
      <c r="M46" t="s">
        <v>36</v>
      </c>
      <c r="N46" t="s">
        <v>68</v>
      </c>
      <c r="O46" t="s">
        <v>63</v>
      </c>
    </row>
    <row r="47" spans="1:15" x14ac:dyDescent="0.3">
      <c r="A47" t="s">
        <v>41</v>
      </c>
      <c r="B47" t="s">
        <v>71</v>
      </c>
      <c r="C47" t="s">
        <v>29</v>
      </c>
      <c r="D47" t="s">
        <v>30</v>
      </c>
      <c r="E47">
        <v>101475</v>
      </c>
      <c r="F47">
        <v>0</v>
      </c>
      <c r="G47">
        <v>0</v>
      </c>
      <c r="H47">
        <v>5.1100000000000003</v>
      </c>
      <c r="I47">
        <v>100</v>
      </c>
      <c r="J47">
        <v>6.3200000000000006E-2</v>
      </c>
      <c r="K47" t="s">
        <v>65</v>
      </c>
      <c r="L47" t="s">
        <v>67</v>
      </c>
      <c r="M47" t="s">
        <v>36</v>
      </c>
      <c r="N47" t="s">
        <v>68</v>
      </c>
      <c r="O47" t="s">
        <v>63</v>
      </c>
    </row>
    <row r="48" spans="1:15" x14ac:dyDescent="0.3">
      <c r="A48" t="s">
        <v>55</v>
      </c>
      <c r="B48" t="s">
        <v>72</v>
      </c>
      <c r="C48" t="s">
        <v>29</v>
      </c>
      <c r="D48" t="s">
        <v>57</v>
      </c>
      <c r="E48">
        <v>101464</v>
      </c>
      <c r="F48">
        <v>0</v>
      </c>
      <c r="G48">
        <v>0</v>
      </c>
      <c r="H48">
        <v>6.77</v>
      </c>
      <c r="I48">
        <v>100</v>
      </c>
      <c r="J48">
        <v>5.9900000000000002E-2</v>
      </c>
      <c r="K48" t="s">
        <v>65</v>
      </c>
      <c r="L48" t="s">
        <v>67</v>
      </c>
      <c r="M48" t="s">
        <v>36</v>
      </c>
      <c r="N48" t="s">
        <v>68</v>
      </c>
      <c r="O48" t="s">
        <v>63</v>
      </c>
    </row>
    <row r="49" spans="1:15" x14ac:dyDescent="0.3">
      <c r="A49" t="s">
        <v>27</v>
      </c>
      <c r="B49" t="s">
        <v>52</v>
      </c>
      <c r="C49" t="s">
        <v>53</v>
      </c>
      <c r="D49" t="s">
        <v>30</v>
      </c>
      <c r="E49">
        <v>101370</v>
      </c>
      <c r="F49">
        <v>0</v>
      </c>
      <c r="G49">
        <v>0</v>
      </c>
      <c r="H49">
        <v>5.63</v>
      </c>
      <c r="I49">
        <v>100</v>
      </c>
      <c r="J49">
        <v>5.8999999999999997E-2</v>
      </c>
      <c r="K49" t="s">
        <v>65</v>
      </c>
      <c r="L49" t="s">
        <v>67</v>
      </c>
      <c r="M49" t="s">
        <v>36</v>
      </c>
      <c r="N49" t="s">
        <v>68</v>
      </c>
      <c r="O49" t="s">
        <v>63</v>
      </c>
    </row>
    <row r="50" spans="1:15" x14ac:dyDescent="0.3">
      <c r="A50" t="s">
        <v>51</v>
      </c>
      <c r="B50" t="s">
        <v>60</v>
      </c>
      <c r="C50" t="s">
        <v>46</v>
      </c>
      <c r="D50" t="s">
        <v>54</v>
      </c>
      <c r="E50">
        <v>101270</v>
      </c>
      <c r="F50">
        <v>0</v>
      </c>
      <c r="G50">
        <v>0</v>
      </c>
      <c r="H50">
        <v>4.8899999999999997</v>
      </c>
      <c r="I50">
        <v>100</v>
      </c>
      <c r="J50">
        <v>6.0299999999999999E-2</v>
      </c>
      <c r="K50" t="s">
        <v>65</v>
      </c>
      <c r="L50" t="s">
        <v>67</v>
      </c>
      <c r="M50" t="s">
        <v>36</v>
      </c>
      <c r="N50" t="s">
        <v>68</v>
      </c>
      <c r="O50" t="s">
        <v>63</v>
      </c>
    </row>
    <row r="51" spans="1:15" x14ac:dyDescent="0.3">
      <c r="A51" t="s">
        <v>27</v>
      </c>
      <c r="B51" t="s">
        <v>72</v>
      </c>
      <c r="C51" t="s">
        <v>29</v>
      </c>
      <c r="D51" t="s">
        <v>30</v>
      </c>
      <c r="E51">
        <v>101198</v>
      </c>
      <c r="F51">
        <v>0</v>
      </c>
      <c r="G51">
        <v>0</v>
      </c>
      <c r="H51">
        <v>6.53</v>
      </c>
      <c r="I51">
        <v>100</v>
      </c>
      <c r="J51">
        <v>6.2100000000000002E-2</v>
      </c>
      <c r="K51" t="s">
        <v>65</v>
      </c>
      <c r="L51" t="s">
        <v>67</v>
      </c>
      <c r="M51" t="s">
        <v>36</v>
      </c>
      <c r="N51" t="s">
        <v>68</v>
      </c>
      <c r="O51" t="s">
        <v>63</v>
      </c>
    </row>
    <row r="52" spans="1:15" x14ac:dyDescent="0.3">
      <c r="A52" t="s">
        <v>44</v>
      </c>
      <c r="B52" t="s">
        <v>70</v>
      </c>
      <c r="C52" t="s">
        <v>29</v>
      </c>
      <c r="D52" t="s">
        <v>30</v>
      </c>
      <c r="E52">
        <v>101190</v>
      </c>
      <c r="F52">
        <v>0</v>
      </c>
      <c r="G52">
        <v>0</v>
      </c>
      <c r="H52">
        <v>4.38</v>
      </c>
      <c r="I52">
        <v>100</v>
      </c>
      <c r="J52">
        <v>6.1600000000000002E-2</v>
      </c>
      <c r="K52" t="s">
        <v>65</v>
      </c>
      <c r="L52" t="s">
        <v>67</v>
      </c>
      <c r="M52" t="s">
        <v>36</v>
      </c>
      <c r="N52" t="s">
        <v>68</v>
      </c>
      <c r="O52" t="s">
        <v>63</v>
      </c>
    </row>
    <row r="53" spans="1:15" x14ac:dyDescent="0.3">
      <c r="A53" t="s">
        <v>41</v>
      </c>
      <c r="B53" t="s">
        <v>52</v>
      </c>
      <c r="C53" t="s">
        <v>53</v>
      </c>
      <c r="D53" t="s">
        <v>30</v>
      </c>
      <c r="E53">
        <v>101144</v>
      </c>
      <c r="F53">
        <v>0</v>
      </c>
      <c r="G53">
        <v>0</v>
      </c>
      <c r="H53">
        <v>3.78</v>
      </c>
      <c r="I53">
        <v>100</v>
      </c>
      <c r="J53">
        <v>6.0100000000000001E-2</v>
      </c>
      <c r="K53" t="s">
        <v>65</v>
      </c>
      <c r="L53" t="s">
        <v>67</v>
      </c>
      <c r="M53" t="s">
        <v>36</v>
      </c>
      <c r="N53" t="s">
        <v>68</v>
      </c>
      <c r="O53" t="s">
        <v>63</v>
      </c>
    </row>
    <row r="54" spans="1:15" x14ac:dyDescent="0.3">
      <c r="A54" t="s">
        <v>55</v>
      </c>
      <c r="B54" t="s">
        <v>64</v>
      </c>
      <c r="C54" t="s">
        <v>43</v>
      </c>
      <c r="D54" t="s">
        <v>57</v>
      </c>
      <c r="E54">
        <v>101119</v>
      </c>
      <c r="F54">
        <v>0</v>
      </c>
      <c r="G54">
        <v>0</v>
      </c>
      <c r="H54">
        <v>5.26</v>
      </c>
      <c r="I54">
        <v>100</v>
      </c>
      <c r="J54">
        <v>5.6800000000000003E-2</v>
      </c>
      <c r="K54" t="s">
        <v>65</v>
      </c>
      <c r="L54" t="s">
        <v>67</v>
      </c>
      <c r="M54" t="s">
        <v>36</v>
      </c>
      <c r="N54" t="s">
        <v>68</v>
      </c>
      <c r="O54" t="s">
        <v>63</v>
      </c>
    </row>
    <row r="55" spans="1:15" x14ac:dyDescent="0.3">
      <c r="A55" t="s">
        <v>44</v>
      </c>
      <c r="B55" t="s">
        <v>61</v>
      </c>
      <c r="C55" t="s">
        <v>46</v>
      </c>
      <c r="D55" t="s">
        <v>30</v>
      </c>
      <c r="E55">
        <v>101059</v>
      </c>
      <c r="F55">
        <v>0</v>
      </c>
      <c r="G55">
        <v>0</v>
      </c>
      <c r="H55">
        <v>4.3099999999999996</v>
      </c>
      <c r="I55">
        <v>100</v>
      </c>
      <c r="J55">
        <v>6.1100000000000002E-2</v>
      </c>
      <c r="K55" t="s">
        <v>65</v>
      </c>
      <c r="L55" t="s">
        <v>67</v>
      </c>
      <c r="M55" t="s">
        <v>36</v>
      </c>
      <c r="N55" t="s">
        <v>68</v>
      </c>
      <c r="O55" t="s">
        <v>63</v>
      </c>
    </row>
    <row r="56" spans="1:15" x14ac:dyDescent="0.3">
      <c r="A56" t="s">
        <v>41</v>
      </c>
      <c r="B56" t="s">
        <v>64</v>
      </c>
      <c r="C56" t="s">
        <v>43</v>
      </c>
      <c r="D56" t="s">
        <v>30</v>
      </c>
      <c r="E56">
        <v>100795</v>
      </c>
      <c r="F56">
        <v>0</v>
      </c>
      <c r="G56">
        <v>0</v>
      </c>
      <c r="H56">
        <v>4.93</v>
      </c>
      <c r="I56">
        <v>100</v>
      </c>
      <c r="J56">
        <v>5.8599999999999999E-2</v>
      </c>
      <c r="K56" t="s">
        <v>65</v>
      </c>
      <c r="L56" t="s">
        <v>67</v>
      </c>
      <c r="M56" t="s">
        <v>36</v>
      </c>
      <c r="N56" t="s">
        <v>68</v>
      </c>
      <c r="O56" t="s">
        <v>63</v>
      </c>
    </row>
    <row r="57" spans="1:15" x14ac:dyDescent="0.3">
      <c r="A57" t="s">
        <v>41</v>
      </c>
      <c r="B57" t="s">
        <v>72</v>
      </c>
      <c r="C57" t="s">
        <v>29</v>
      </c>
      <c r="D57" t="s">
        <v>30</v>
      </c>
      <c r="E57">
        <v>100749</v>
      </c>
      <c r="F57">
        <v>0</v>
      </c>
      <c r="G57">
        <v>0</v>
      </c>
      <c r="H57">
        <v>5.85</v>
      </c>
      <c r="I57">
        <v>100</v>
      </c>
      <c r="J57">
        <v>5.7500000000000002E-2</v>
      </c>
      <c r="K57" t="s">
        <v>65</v>
      </c>
      <c r="L57" t="s">
        <v>67</v>
      </c>
      <c r="M57" t="s">
        <v>36</v>
      </c>
      <c r="N57" t="s">
        <v>68</v>
      </c>
      <c r="O57" t="s">
        <v>63</v>
      </c>
    </row>
    <row r="58" spans="1:15" x14ac:dyDescent="0.3">
      <c r="A58" t="s">
        <v>51</v>
      </c>
      <c r="B58" t="s">
        <v>62</v>
      </c>
      <c r="C58" t="s">
        <v>53</v>
      </c>
      <c r="D58" t="s">
        <v>54</v>
      </c>
      <c r="E58">
        <v>100728</v>
      </c>
      <c r="F58">
        <v>0</v>
      </c>
      <c r="G58">
        <v>0</v>
      </c>
      <c r="H58">
        <v>6.21</v>
      </c>
      <c r="I58">
        <v>100</v>
      </c>
      <c r="J58">
        <v>6.0400000000000002E-2</v>
      </c>
      <c r="K58" t="s">
        <v>65</v>
      </c>
      <c r="L58" t="s">
        <v>67</v>
      </c>
      <c r="M58" t="s">
        <v>36</v>
      </c>
      <c r="N58" t="s">
        <v>68</v>
      </c>
      <c r="O58" t="s">
        <v>63</v>
      </c>
    </row>
    <row r="59" spans="1:15" x14ac:dyDescent="0.3">
      <c r="A59" t="s">
        <v>51</v>
      </c>
      <c r="B59" t="s">
        <v>64</v>
      </c>
      <c r="C59" t="s">
        <v>43</v>
      </c>
      <c r="D59" t="s">
        <v>54</v>
      </c>
      <c r="E59">
        <v>100664</v>
      </c>
      <c r="F59">
        <v>0</v>
      </c>
      <c r="G59">
        <v>0</v>
      </c>
      <c r="H59">
        <v>5.13</v>
      </c>
      <c r="I59">
        <v>100</v>
      </c>
      <c r="J59">
        <v>6.0499999999999998E-2</v>
      </c>
      <c r="K59" t="s">
        <v>65</v>
      </c>
      <c r="L59" t="s">
        <v>67</v>
      </c>
      <c r="M59" t="s">
        <v>36</v>
      </c>
      <c r="N59" t="s">
        <v>68</v>
      </c>
      <c r="O59" t="s">
        <v>63</v>
      </c>
    </row>
    <row r="60" spans="1:15" x14ac:dyDescent="0.3">
      <c r="A60" t="s">
        <v>44</v>
      </c>
      <c r="B60" t="s">
        <v>72</v>
      </c>
      <c r="C60" t="s">
        <v>29</v>
      </c>
      <c r="D60" t="s">
        <v>30</v>
      </c>
      <c r="E60">
        <v>100601</v>
      </c>
      <c r="F60">
        <v>0</v>
      </c>
      <c r="G60">
        <v>0</v>
      </c>
      <c r="H60">
        <v>4.8</v>
      </c>
      <c r="I60">
        <v>100</v>
      </c>
      <c r="J60">
        <v>6.0199999999999997E-2</v>
      </c>
      <c r="K60" t="s">
        <v>65</v>
      </c>
      <c r="L60" t="s">
        <v>67</v>
      </c>
      <c r="M60" t="s">
        <v>36</v>
      </c>
      <c r="N60" t="s">
        <v>68</v>
      </c>
      <c r="O60" t="s">
        <v>63</v>
      </c>
    </row>
    <row r="61" spans="1:15" x14ac:dyDescent="0.3">
      <c r="A61" t="s">
        <v>55</v>
      </c>
      <c r="B61" t="s">
        <v>52</v>
      </c>
      <c r="C61" t="s">
        <v>53</v>
      </c>
      <c r="D61" t="s">
        <v>57</v>
      </c>
      <c r="E61">
        <v>100552</v>
      </c>
      <c r="F61">
        <v>0</v>
      </c>
      <c r="G61">
        <v>0</v>
      </c>
      <c r="H61">
        <v>4.8099999999999996</v>
      </c>
      <c r="I61">
        <v>100</v>
      </c>
      <c r="J61">
        <v>0.06</v>
      </c>
      <c r="K61" t="s">
        <v>65</v>
      </c>
      <c r="L61" t="s">
        <v>67</v>
      </c>
      <c r="M61" t="s">
        <v>36</v>
      </c>
      <c r="N61" t="s">
        <v>68</v>
      </c>
      <c r="O61" t="s">
        <v>63</v>
      </c>
    </row>
    <row r="62" spans="1:15" x14ac:dyDescent="0.3">
      <c r="A62" t="s">
        <v>27</v>
      </c>
      <c r="B62" t="s">
        <v>62</v>
      </c>
      <c r="C62" t="s">
        <v>53</v>
      </c>
      <c r="D62" t="s">
        <v>30</v>
      </c>
      <c r="E62">
        <v>100551</v>
      </c>
      <c r="F62">
        <v>0</v>
      </c>
      <c r="G62">
        <v>0</v>
      </c>
      <c r="H62">
        <v>4.53</v>
      </c>
      <c r="I62">
        <v>100</v>
      </c>
      <c r="J62">
        <v>6.1400000000000003E-2</v>
      </c>
      <c r="K62" t="s">
        <v>65</v>
      </c>
      <c r="L62" t="s">
        <v>67</v>
      </c>
      <c r="M62" t="s">
        <v>36</v>
      </c>
      <c r="N62" t="s">
        <v>68</v>
      </c>
      <c r="O62" t="s">
        <v>63</v>
      </c>
    </row>
    <row r="63" spans="1:15" x14ac:dyDescent="0.3">
      <c r="A63" t="s">
        <v>55</v>
      </c>
      <c r="B63" t="s">
        <v>47</v>
      </c>
      <c r="C63" t="s">
        <v>40</v>
      </c>
      <c r="D63" t="s">
        <v>57</v>
      </c>
      <c r="E63">
        <v>100529</v>
      </c>
      <c r="F63">
        <v>0</v>
      </c>
      <c r="G63">
        <v>0</v>
      </c>
      <c r="H63">
        <v>5.13</v>
      </c>
      <c r="I63">
        <v>100</v>
      </c>
      <c r="J63">
        <v>5.8900000000000001E-2</v>
      </c>
      <c r="K63" t="s">
        <v>65</v>
      </c>
      <c r="L63" t="s">
        <v>67</v>
      </c>
      <c r="M63" t="s">
        <v>36</v>
      </c>
      <c r="N63" t="s">
        <v>68</v>
      </c>
      <c r="O63" t="s">
        <v>63</v>
      </c>
    </row>
    <row r="64" spans="1:15" x14ac:dyDescent="0.3">
      <c r="A64" t="s">
        <v>27</v>
      </c>
      <c r="B64" t="s">
        <v>59</v>
      </c>
      <c r="C64" t="s">
        <v>53</v>
      </c>
      <c r="D64" t="s">
        <v>30</v>
      </c>
      <c r="E64">
        <v>100409</v>
      </c>
      <c r="F64">
        <v>0</v>
      </c>
      <c r="G64">
        <v>0</v>
      </c>
      <c r="H64">
        <v>4.45</v>
      </c>
      <c r="I64">
        <v>100</v>
      </c>
      <c r="J64">
        <v>5.9700000000000003E-2</v>
      </c>
      <c r="K64" t="s">
        <v>65</v>
      </c>
      <c r="L64" t="s">
        <v>67</v>
      </c>
      <c r="M64" t="s">
        <v>36</v>
      </c>
      <c r="N64" t="s">
        <v>68</v>
      </c>
      <c r="O64" t="s">
        <v>63</v>
      </c>
    </row>
    <row r="65" spans="1:15" x14ac:dyDescent="0.3">
      <c r="A65" t="s">
        <v>51</v>
      </c>
      <c r="B65" t="s">
        <v>48</v>
      </c>
      <c r="C65" t="s">
        <v>46</v>
      </c>
      <c r="D65" t="s">
        <v>54</v>
      </c>
      <c r="E65">
        <v>100309</v>
      </c>
      <c r="F65">
        <v>0</v>
      </c>
      <c r="G65">
        <v>0</v>
      </c>
      <c r="H65">
        <v>4.6900000000000004</v>
      </c>
      <c r="I65">
        <v>100</v>
      </c>
      <c r="J65">
        <v>5.9200000000000003E-2</v>
      </c>
      <c r="K65" t="s">
        <v>65</v>
      </c>
      <c r="L65" t="s">
        <v>67</v>
      </c>
      <c r="M65" t="s">
        <v>36</v>
      </c>
      <c r="N65" t="s">
        <v>68</v>
      </c>
      <c r="O65" t="s">
        <v>63</v>
      </c>
    </row>
    <row r="66" spans="1:15" x14ac:dyDescent="0.3">
      <c r="A66" t="s">
        <v>51</v>
      </c>
      <c r="B66" t="s">
        <v>69</v>
      </c>
      <c r="C66" t="s">
        <v>40</v>
      </c>
      <c r="D66" t="s">
        <v>54</v>
      </c>
      <c r="E66">
        <v>99798</v>
      </c>
      <c r="F66">
        <v>0</v>
      </c>
      <c r="G66">
        <v>0</v>
      </c>
      <c r="H66">
        <v>5.01</v>
      </c>
      <c r="I66">
        <v>100</v>
      </c>
      <c r="J66">
        <v>6.0999999999999999E-2</v>
      </c>
      <c r="K66" t="s">
        <v>65</v>
      </c>
      <c r="L66" t="s">
        <v>67</v>
      </c>
      <c r="M66" t="s">
        <v>36</v>
      </c>
      <c r="N66" t="s">
        <v>68</v>
      </c>
      <c r="O66" t="s">
        <v>63</v>
      </c>
    </row>
    <row r="67" spans="1:15" x14ac:dyDescent="0.3">
      <c r="A67" t="s">
        <v>41</v>
      </c>
      <c r="B67" t="s">
        <v>39</v>
      </c>
      <c r="C67" t="s">
        <v>40</v>
      </c>
      <c r="D67" t="s">
        <v>30</v>
      </c>
      <c r="E67">
        <v>99744</v>
      </c>
      <c r="F67">
        <v>0</v>
      </c>
      <c r="G67">
        <v>0</v>
      </c>
      <c r="H67">
        <v>5.44</v>
      </c>
      <c r="I67">
        <v>100</v>
      </c>
      <c r="J67">
        <v>6.13E-2</v>
      </c>
      <c r="K67" t="s">
        <v>65</v>
      </c>
      <c r="L67" t="s">
        <v>67</v>
      </c>
      <c r="M67" t="s">
        <v>36</v>
      </c>
      <c r="N67" t="s">
        <v>68</v>
      </c>
      <c r="O67" t="s">
        <v>63</v>
      </c>
    </row>
    <row r="68" spans="1:15" x14ac:dyDescent="0.3">
      <c r="A68" t="s">
        <v>27</v>
      </c>
      <c r="B68" t="s">
        <v>42</v>
      </c>
      <c r="C68" t="s">
        <v>43</v>
      </c>
      <c r="D68" t="s">
        <v>30</v>
      </c>
      <c r="E68">
        <v>99558</v>
      </c>
      <c r="F68">
        <v>0</v>
      </c>
      <c r="G68">
        <v>0</v>
      </c>
      <c r="H68">
        <v>5.0999999999999996</v>
      </c>
      <c r="I68">
        <v>100</v>
      </c>
      <c r="J68">
        <v>6.1199999999999997E-2</v>
      </c>
      <c r="K68" t="s">
        <v>65</v>
      </c>
      <c r="L68" t="s">
        <v>67</v>
      </c>
      <c r="M68" t="s">
        <v>36</v>
      </c>
      <c r="N68" t="s">
        <v>68</v>
      </c>
      <c r="O68" t="s">
        <v>63</v>
      </c>
    </row>
    <row r="69" spans="1:15" x14ac:dyDescent="0.3">
      <c r="A69" t="s">
        <v>55</v>
      </c>
      <c r="B69" t="s">
        <v>62</v>
      </c>
      <c r="C69" t="s">
        <v>53</v>
      </c>
      <c r="D69" t="s">
        <v>57</v>
      </c>
      <c r="E69">
        <v>99422</v>
      </c>
      <c r="F69">
        <v>0</v>
      </c>
      <c r="G69">
        <v>0</v>
      </c>
      <c r="H69">
        <v>6</v>
      </c>
      <c r="I69">
        <v>100</v>
      </c>
      <c r="J69">
        <v>6.0600000000000001E-2</v>
      </c>
      <c r="K69" t="s">
        <v>65</v>
      </c>
      <c r="L69" t="s">
        <v>67</v>
      </c>
      <c r="M69" t="s">
        <v>36</v>
      </c>
      <c r="N69" t="s">
        <v>68</v>
      </c>
      <c r="O69" t="s">
        <v>63</v>
      </c>
    </row>
    <row r="70" spans="1:15" x14ac:dyDescent="0.3">
      <c r="A70" t="s">
        <v>44</v>
      </c>
      <c r="B70" t="s">
        <v>28</v>
      </c>
      <c r="C70" t="s">
        <v>29</v>
      </c>
      <c r="D70" t="s">
        <v>30</v>
      </c>
      <c r="E70">
        <v>99145</v>
      </c>
      <c r="F70">
        <v>0</v>
      </c>
      <c r="G70">
        <v>0</v>
      </c>
      <c r="H70">
        <v>4.3</v>
      </c>
      <c r="I70">
        <v>100</v>
      </c>
      <c r="J70">
        <v>6.1800000000000001E-2</v>
      </c>
      <c r="K70" t="s">
        <v>65</v>
      </c>
      <c r="L70" t="s">
        <v>67</v>
      </c>
      <c r="M70" t="s">
        <v>36</v>
      </c>
      <c r="N70" t="s">
        <v>68</v>
      </c>
      <c r="O70" t="s">
        <v>63</v>
      </c>
    </row>
    <row r="71" spans="1:15" x14ac:dyDescent="0.3">
      <c r="A71" t="s">
        <v>44</v>
      </c>
      <c r="B71" t="s">
        <v>62</v>
      </c>
      <c r="C71" t="s">
        <v>53</v>
      </c>
      <c r="D71" t="s">
        <v>30</v>
      </c>
      <c r="E71">
        <v>99012</v>
      </c>
      <c r="F71">
        <v>0</v>
      </c>
      <c r="G71">
        <v>0</v>
      </c>
      <c r="H71">
        <v>4.24</v>
      </c>
      <c r="I71">
        <v>100</v>
      </c>
      <c r="J71">
        <v>6.1600000000000002E-2</v>
      </c>
      <c r="K71" t="s">
        <v>65</v>
      </c>
      <c r="L71" t="s">
        <v>67</v>
      </c>
      <c r="M71" t="s">
        <v>36</v>
      </c>
      <c r="N71" t="s">
        <v>68</v>
      </c>
      <c r="O71" t="s">
        <v>63</v>
      </c>
    </row>
    <row r="72" spans="1:15" x14ac:dyDescent="0.3">
      <c r="A72" t="s">
        <v>27</v>
      </c>
      <c r="B72" t="s">
        <v>70</v>
      </c>
      <c r="C72" t="s">
        <v>29</v>
      </c>
      <c r="D72" t="s">
        <v>30</v>
      </c>
      <c r="E72">
        <v>98836</v>
      </c>
      <c r="F72">
        <v>0</v>
      </c>
      <c r="G72">
        <v>0</v>
      </c>
      <c r="H72">
        <v>6.26</v>
      </c>
      <c r="I72">
        <v>100</v>
      </c>
      <c r="J72">
        <v>6.13E-2</v>
      </c>
      <c r="K72" t="s">
        <v>65</v>
      </c>
      <c r="L72" t="s">
        <v>67</v>
      </c>
      <c r="M72" t="s">
        <v>36</v>
      </c>
      <c r="N72" t="s">
        <v>68</v>
      </c>
      <c r="O72" t="s">
        <v>63</v>
      </c>
    </row>
    <row r="73" spans="1:15" x14ac:dyDescent="0.3">
      <c r="A73" t="s">
        <v>27</v>
      </c>
      <c r="B73" t="s">
        <v>69</v>
      </c>
      <c r="C73" t="s">
        <v>40</v>
      </c>
      <c r="D73" t="s">
        <v>30</v>
      </c>
      <c r="E73">
        <v>98724</v>
      </c>
      <c r="F73">
        <v>0</v>
      </c>
      <c r="G73">
        <v>0</v>
      </c>
      <c r="H73">
        <v>5.66</v>
      </c>
      <c r="I73">
        <v>100</v>
      </c>
      <c r="J73">
        <v>6.1100000000000002E-2</v>
      </c>
      <c r="K73" t="s">
        <v>65</v>
      </c>
      <c r="L73" t="s">
        <v>67</v>
      </c>
      <c r="M73" t="s">
        <v>36</v>
      </c>
      <c r="N73" t="s">
        <v>68</v>
      </c>
      <c r="O73" t="s">
        <v>63</v>
      </c>
    </row>
    <row r="74" spans="1:15" x14ac:dyDescent="0.3">
      <c r="A74" t="s">
        <v>41</v>
      </c>
      <c r="B74" t="s">
        <v>69</v>
      </c>
      <c r="C74" t="s">
        <v>40</v>
      </c>
      <c r="D74" t="s">
        <v>30</v>
      </c>
      <c r="E74">
        <v>98488</v>
      </c>
      <c r="F74">
        <v>0</v>
      </c>
      <c r="G74">
        <v>0</v>
      </c>
      <c r="H74">
        <v>4.83</v>
      </c>
      <c r="I74">
        <v>100</v>
      </c>
      <c r="J74">
        <v>6.2E-2</v>
      </c>
      <c r="K74" t="s">
        <v>65</v>
      </c>
      <c r="L74" t="s">
        <v>67</v>
      </c>
      <c r="M74" t="s">
        <v>36</v>
      </c>
      <c r="N74" t="s">
        <v>68</v>
      </c>
      <c r="O74" t="s">
        <v>63</v>
      </c>
    </row>
    <row r="75" spans="1:15" x14ac:dyDescent="0.3">
      <c r="A75" t="s">
        <v>51</v>
      </c>
      <c r="B75" t="s">
        <v>42</v>
      </c>
      <c r="C75" t="s">
        <v>43</v>
      </c>
      <c r="D75" t="s">
        <v>54</v>
      </c>
      <c r="E75">
        <v>98390</v>
      </c>
      <c r="F75">
        <v>0</v>
      </c>
      <c r="G75">
        <v>0</v>
      </c>
      <c r="H75">
        <v>5.64</v>
      </c>
      <c r="I75">
        <v>100</v>
      </c>
      <c r="J75">
        <v>6.1600000000000002E-2</v>
      </c>
      <c r="K75" t="s">
        <v>65</v>
      </c>
      <c r="L75" t="s">
        <v>67</v>
      </c>
      <c r="M75" t="s">
        <v>36</v>
      </c>
      <c r="N75" t="s">
        <v>68</v>
      </c>
      <c r="O75" t="s">
        <v>63</v>
      </c>
    </row>
    <row r="76" spans="1:15" x14ac:dyDescent="0.3">
      <c r="A76" t="s">
        <v>51</v>
      </c>
      <c r="B76" t="s">
        <v>49</v>
      </c>
      <c r="C76" t="s">
        <v>29</v>
      </c>
      <c r="D76" t="s">
        <v>54</v>
      </c>
      <c r="E76">
        <v>98371</v>
      </c>
      <c r="F76">
        <v>0</v>
      </c>
      <c r="G76">
        <v>0</v>
      </c>
      <c r="H76">
        <v>4.6100000000000003</v>
      </c>
      <c r="I76">
        <v>100</v>
      </c>
      <c r="J76">
        <v>5.9299999999999999E-2</v>
      </c>
      <c r="K76" t="s">
        <v>65</v>
      </c>
      <c r="L76" t="s">
        <v>67</v>
      </c>
      <c r="M76" t="s">
        <v>36</v>
      </c>
      <c r="N76" t="s">
        <v>68</v>
      </c>
      <c r="O76" t="s">
        <v>63</v>
      </c>
    </row>
    <row r="77" spans="1:15" x14ac:dyDescent="0.3">
      <c r="A77" t="s">
        <v>44</v>
      </c>
      <c r="B77" t="s">
        <v>59</v>
      </c>
      <c r="C77" t="s">
        <v>53</v>
      </c>
      <c r="D77" t="s">
        <v>30</v>
      </c>
      <c r="E77">
        <v>98251</v>
      </c>
      <c r="F77">
        <v>0</v>
      </c>
      <c r="G77">
        <v>0</v>
      </c>
      <c r="H77">
        <v>3.55</v>
      </c>
      <c r="I77">
        <v>100</v>
      </c>
      <c r="J77">
        <v>6.1800000000000001E-2</v>
      </c>
      <c r="K77" t="s">
        <v>65</v>
      </c>
      <c r="L77" t="s">
        <v>67</v>
      </c>
      <c r="M77" t="s">
        <v>36</v>
      </c>
      <c r="N77" t="s">
        <v>68</v>
      </c>
      <c r="O77" t="s">
        <v>63</v>
      </c>
    </row>
    <row r="78" spans="1:15" x14ac:dyDescent="0.3">
      <c r="A78" t="s">
        <v>44</v>
      </c>
      <c r="B78" t="s">
        <v>50</v>
      </c>
      <c r="C78" t="s">
        <v>46</v>
      </c>
      <c r="D78" t="s">
        <v>30</v>
      </c>
      <c r="E78">
        <v>98116</v>
      </c>
      <c r="F78">
        <v>0</v>
      </c>
      <c r="G78">
        <v>0</v>
      </c>
      <c r="H78">
        <v>4.2</v>
      </c>
      <c r="I78">
        <v>100</v>
      </c>
      <c r="J78">
        <v>6.3399999999999998E-2</v>
      </c>
      <c r="K78" t="s">
        <v>65</v>
      </c>
      <c r="L78" t="s">
        <v>67</v>
      </c>
      <c r="M78" t="s">
        <v>36</v>
      </c>
      <c r="N78" t="s">
        <v>68</v>
      </c>
      <c r="O78" t="s">
        <v>63</v>
      </c>
    </row>
    <row r="79" spans="1:15" x14ac:dyDescent="0.3">
      <c r="A79" t="s">
        <v>27</v>
      </c>
      <c r="B79" t="s">
        <v>71</v>
      </c>
      <c r="C79" t="s">
        <v>29</v>
      </c>
      <c r="D79" t="s">
        <v>30</v>
      </c>
      <c r="E79">
        <v>98064</v>
      </c>
      <c r="F79">
        <v>0</v>
      </c>
      <c r="G79">
        <v>0</v>
      </c>
      <c r="H79">
        <v>4.01</v>
      </c>
      <c r="I79">
        <v>100</v>
      </c>
      <c r="J79">
        <v>6.2899999999999998E-2</v>
      </c>
      <c r="K79" t="s">
        <v>65</v>
      </c>
      <c r="L79" t="s">
        <v>67</v>
      </c>
      <c r="M79" t="s">
        <v>36</v>
      </c>
      <c r="N79" t="s">
        <v>68</v>
      </c>
      <c r="O79" t="s">
        <v>63</v>
      </c>
    </row>
    <row r="80" spans="1:15" x14ac:dyDescent="0.3">
      <c r="A80" t="s">
        <v>55</v>
      </c>
      <c r="B80" t="s">
        <v>49</v>
      </c>
      <c r="C80" t="s">
        <v>29</v>
      </c>
      <c r="D80" t="s">
        <v>57</v>
      </c>
      <c r="E80">
        <v>97864</v>
      </c>
      <c r="F80">
        <v>0</v>
      </c>
      <c r="G80">
        <v>0</v>
      </c>
      <c r="H80">
        <v>4.55</v>
      </c>
      <c r="I80">
        <v>100</v>
      </c>
      <c r="J80">
        <v>6.3200000000000006E-2</v>
      </c>
      <c r="K80" t="s">
        <v>65</v>
      </c>
      <c r="L80" t="s">
        <v>67</v>
      </c>
      <c r="M80" t="s">
        <v>36</v>
      </c>
      <c r="N80" t="s">
        <v>68</v>
      </c>
      <c r="O80" t="s">
        <v>63</v>
      </c>
    </row>
    <row r="81" spans="1:15" x14ac:dyDescent="0.3">
      <c r="A81" t="s">
        <v>27</v>
      </c>
      <c r="B81" t="s">
        <v>49</v>
      </c>
      <c r="C81" t="s">
        <v>29</v>
      </c>
      <c r="D81" t="s">
        <v>30</v>
      </c>
      <c r="E81">
        <v>97859</v>
      </c>
      <c r="F81">
        <v>0</v>
      </c>
      <c r="G81">
        <v>0</v>
      </c>
      <c r="H81">
        <v>4.17</v>
      </c>
      <c r="I81">
        <v>100</v>
      </c>
      <c r="J81">
        <v>6.1499999999999999E-2</v>
      </c>
      <c r="K81" t="s">
        <v>65</v>
      </c>
      <c r="L81" t="s">
        <v>67</v>
      </c>
      <c r="M81" t="s">
        <v>36</v>
      </c>
      <c r="N81" t="s">
        <v>68</v>
      </c>
      <c r="O81" t="s">
        <v>63</v>
      </c>
    </row>
    <row r="82" spans="1:15" x14ac:dyDescent="0.3">
      <c r="A82" t="s">
        <v>44</v>
      </c>
      <c r="B82" t="s">
        <v>56</v>
      </c>
      <c r="C82" t="s">
        <v>46</v>
      </c>
      <c r="D82" t="s">
        <v>30</v>
      </c>
      <c r="E82">
        <v>97418</v>
      </c>
      <c r="F82">
        <v>0</v>
      </c>
      <c r="G82">
        <v>0</v>
      </c>
      <c r="H82">
        <v>5.5</v>
      </c>
      <c r="I82">
        <v>100</v>
      </c>
      <c r="J82">
        <v>0.06</v>
      </c>
      <c r="K82" t="s">
        <v>65</v>
      </c>
      <c r="L82" t="s">
        <v>67</v>
      </c>
      <c r="M82" t="s">
        <v>36</v>
      </c>
      <c r="N82" t="s">
        <v>68</v>
      </c>
      <c r="O82" t="s">
        <v>63</v>
      </c>
    </row>
    <row r="83" spans="1:15" x14ac:dyDescent="0.3">
      <c r="A83" t="s">
        <v>44</v>
      </c>
      <c r="B83" t="s">
        <v>48</v>
      </c>
      <c r="C83" t="s">
        <v>46</v>
      </c>
      <c r="D83" t="s">
        <v>30</v>
      </c>
      <c r="E83">
        <v>96910</v>
      </c>
      <c r="F83">
        <v>0</v>
      </c>
      <c r="G83">
        <v>0</v>
      </c>
      <c r="H83">
        <v>5.62</v>
      </c>
      <c r="I83">
        <v>100</v>
      </c>
      <c r="J83">
        <v>6.2600000000000003E-2</v>
      </c>
      <c r="K83" t="s">
        <v>65</v>
      </c>
      <c r="L83" t="s">
        <v>67</v>
      </c>
      <c r="M83" t="s">
        <v>36</v>
      </c>
      <c r="N83" t="s">
        <v>68</v>
      </c>
      <c r="O83" t="s">
        <v>63</v>
      </c>
    </row>
    <row r="84" spans="1:15" x14ac:dyDescent="0.3">
      <c r="A84" t="s">
        <v>41</v>
      </c>
      <c r="B84" t="s">
        <v>28</v>
      </c>
      <c r="C84" t="s">
        <v>29</v>
      </c>
      <c r="D84" t="s">
        <v>30</v>
      </c>
      <c r="E84">
        <v>96852</v>
      </c>
      <c r="F84">
        <v>0</v>
      </c>
      <c r="G84">
        <v>0</v>
      </c>
      <c r="H84">
        <v>4.55</v>
      </c>
      <c r="I84">
        <v>100</v>
      </c>
      <c r="J84">
        <v>5.9499999999999997E-2</v>
      </c>
      <c r="K84" t="s">
        <v>65</v>
      </c>
      <c r="L84" t="s">
        <v>67</v>
      </c>
      <c r="M84" t="s">
        <v>36</v>
      </c>
      <c r="N84" t="s">
        <v>68</v>
      </c>
      <c r="O84" t="s">
        <v>63</v>
      </c>
    </row>
    <row r="85" spans="1:15" x14ac:dyDescent="0.3">
      <c r="A85" t="s">
        <v>55</v>
      </c>
      <c r="B85" t="s">
        <v>70</v>
      </c>
      <c r="C85" t="s">
        <v>29</v>
      </c>
      <c r="D85" t="s">
        <v>57</v>
      </c>
      <c r="E85">
        <v>96660</v>
      </c>
      <c r="F85">
        <v>0</v>
      </c>
      <c r="G85">
        <v>0</v>
      </c>
      <c r="H85">
        <v>4.5</v>
      </c>
      <c r="I85">
        <v>100</v>
      </c>
      <c r="J85">
        <v>6.4199999999999993E-2</v>
      </c>
      <c r="K85" t="s">
        <v>65</v>
      </c>
      <c r="L85" t="s">
        <v>67</v>
      </c>
      <c r="M85" t="s">
        <v>36</v>
      </c>
      <c r="N85" t="s">
        <v>68</v>
      </c>
      <c r="O85" t="s">
        <v>63</v>
      </c>
    </row>
    <row r="86" spans="1:15" x14ac:dyDescent="0.3">
      <c r="A86" t="s">
        <v>55</v>
      </c>
      <c r="B86" t="s">
        <v>71</v>
      </c>
      <c r="C86" t="s">
        <v>29</v>
      </c>
      <c r="D86" t="s">
        <v>57</v>
      </c>
      <c r="E86">
        <v>96507</v>
      </c>
      <c r="F86">
        <v>0</v>
      </c>
      <c r="G86">
        <v>0</v>
      </c>
      <c r="H86">
        <v>4.4800000000000004</v>
      </c>
      <c r="I86">
        <v>100</v>
      </c>
      <c r="J86">
        <v>6.3200000000000006E-2</v>
      </c>
      <c r="K86" t="s">
        <v>65</v>
      </c>
      <c r="L86" t="s">
        <v>67</v>
      </c>
      <c r="M86" t="s">
        <v>36</v>
      </c>
      <c r="N86" t="s">
        <v>68</v>
      </c>
      <c r="O86" t="s">
        <v>63</v>
      </c>
    </row>
    <row r="87" spans="1:15" x14ac:dyDescent="0.3">
      <c r="A87" t="s">
        <v>44</v>
      </c>
      <c r="B87" t="s">
        <v>69</v>
      </c>
      <c r="C87" t="s">
        <v>40</v>
      </c>
      <c r="D87" t="s">
        <v>30</v>
      </c>
      <c r="E87">
        <v>96365</v>
      </c>
      <c r="F87">
        <v>0</v>
      </c>
      <c r="G87">
        <v>0</v>
      </c>
      <c r="H87">
        <v>4.43</v>
      </c>
      <c r="I87">
        <v>100</v>
      </c>
      <c r="J87">
        <v>6.1199999999999997E-2</v>
      </c>
      <c r="K87" t="s">
        <v>65</v>
      </c>
      <c r="L87" t="s">
        <v>67</v>
      </c>
      <c r="M87" t="s">
        <v>36</v>
      </c>
      <c r="N87" t="s">
        <v>68</v>
      </c>
      <c r="O87" t="s">
        <v>63</v>
      </c>
    </row>
    <row r="88" spans="1:15" x14ac:dyDescent="0.3">
      <c r="A88" t="s">
        <v>51</v>
      </c>
      <c r="B88" t="s">
        <v>47</v>
      </c>
      <c r="C88" t="s">
        <v>40</v>
      </c>
      <c r="D88" t="s">
        <v>54</v>
      </c>
      <c r="E88">
        <v>96327</v>
      </c>
      <c r="F88">
        <v>0</v>
      </c>
      <c r="G88">
        <v>0</v>
      </c>
      <c r="H88">
        <v>5.19</v>
      </c>
      <c r="I88">
        <v>100</v>
      </c>
      <c r="J88">
        <v>6.54E-2</v>
      </c>
      <c r="K88" t="s">
        <v>65</v>
      </c>
      <c r="L88" t="s">
        <v>67</v>
      </c>
      <c r="M88" t="s">
        <v>36</v>
      </c>
      <c r="N88" t="s">
        <v>68</v>
      </c>
      <c r="O88" t="s">
        <v>63</v>
      </c>
    </row>
    <row r="89" spans="1:15" x14ac:dyDescent="0.3">
      <c r="A89" t="s">
        <v>51</v>
      </c>
      <c r="B89" t="s">
        <v>70</v>
      </c>
      <c r="C89" t="s">
        <v>29</v>
      </c>
      <c r="D89" t="s">
        <v>54</v>
      </c>
      <c r="E89">
        <v>95814</v>
      </c>
      <c r="F89">
        <v>0</v>
      </c>
      <c r="G89">
        <v>0</v>
      </c>
      <c r="H89">
        <v>6.68</v>
      </c>
      <c r="I89">
        <v>100</v>
      </c>
      <c r="J89">
        <v>6.2700000000000006E-2</v>
      </c>
      <c r="K89" t="s">
        <v>65</v>
      </c>
      <c r="L89" t="s">
        <v>67</v>
      </c>
      <c r="M89" t="s">
        <v>36</v>
      </c>
      <c r="N89" t="s">
        <v>68</v>
      </c>
      <c r="O89" t="s">
        <v>63</v>
      </c>
    </row>
    <row r="90" spans="1:15" x14ac:dyDescent="0.3">
      <c r="A90" t="s">
        <v>27</v>
      </c>
      <c r="B90" t="s">
        <v>60</v>
      </c>
      <c r="C90" t="s">
        <v>46</v>
      </c>
      <c r="D90" t="s">
        <v>30</v>
      </c>
      <c r="E90">
        <v>95801</v>
      </c>
      <c r="F90">
        <v>0</v>
      </c>
      <c r="G90">
        <v>0</v>
      </c>
      <c r="H90">
        <v>4.24</v>
      </c>
      <c r="I90">
        <v>100</v>
      </c>
      <c r="J90">
        <v>6.4199999999999993E-2</v>
      </c>
      <c r="K90" t="s">
        <v>65</v>
      </c>
      <c r="L90" t="s">
        <v>67</v>
      </c>
      <c r="M90" t="s">
        <v>36</v>
      </c>
      <c r="N90" t="s">
        <v>68</v>
      </c>
      <c r="O90" t="s">
        <v>63</v>
      </c>
    </row>
    <row r="91" spans="1:15" x14ac:dyDescent="0.3">
      <c r="A91" t="s">
        <v>41</v>
      </c>
      <c r="B91" t="s">
        <v>58</v>
      </c>
      <c r="C91" t="s">
        <v>43</v>
      </c>
      <c r="D91" t="s">
        <v>30</v>
      </c>
      <c r="E91">
        <v>95789</v>
      </c>
      <c r="F91">
        <v>0</v>
      </c>
      <c r="G91">
        <v>0</v>
      </c>
      <c r="H91">
        <v>5.29</v>
      </c>
      <c r="I91">
        <v>100</v>
      </c>
      <c r="J91">
        <v>6.4199999999999993E-2</v>
      </c>
      <c r="K91" t="s">
        <v>65</v>
      </c>
      <c r="L91" t="s">
        <v>67</v>
      </c>
      <c r="M91" t="s">
        <v>36</v>
      </c>
      <c r="N91" t="s">
        <v>68</v>
      </c>
      <c r="O91" t="s">
        <v>63</v>
      </c>
    </row>
    <row r="92" spans="1:15" x14ac:dyDescent="0.3">
      <c r="A92" t="s">
        <v>41</v>
      </c>
      <c r="B92" t="s">
        <v>56</v>
      </c>
      <c r="C92" t="s">
        <v>46</v>
      </c>
      <c r="D92" t="s">
        <v>30</v>
      </c>
      <c r="E92">
        <v>95522</v>
      </c>
      <c r="F92">
        <v>0</v>
      </c>
      <c r="G92">
        <v>0</v>
      </c>
      <c r="H92">
        <v>6.34</v>
      </c>
      <c r="I92">
        <v>100</v>
      </c>
      <c r="J92">
        <v>6.25E-2</v>
      </c>
      <c r="K92" t="s">
        <v>65</v>
      </c>
      <c r="L92" t="s">
        <v>67</v>
      </c>
      <c r="M92" t="s">
        <v>36</v>
      </c>
      <c r="N92" t="s">
        <v>68</v>
      </c>
      <c r="O92" t="s">
        <v>63</v>
      </c>
    </row>
    <row r="93" spans="1:15" x14ac:dyDescent="0.3">
      <c r="A93" t="s">
        <v>51</v>
      </c>
      <c r="B93" t="s">
        <v>58</v>
      </c>
      <c r="C93" t="s">
        <v>43</v>
      </c>
      <c r="D93" t="s">
        <v>54</v>
      </c>
      <c r="E93">
        <v>95358</v>
      </c>
      <c r="F93">
        <v>0</v>
      </c>
      <c r="G93">
        <v>0</v>
      </c>
      <c r="H93">
        <v>4.55</v>
      </c>
      <c r="I93">
        <v>100</v>
      </c>
      <c r="J93">
        <v>6.5000000000000002E-2</v>
      </c>
      <c r="K93" t="s">
        <v>65</v>
      </c>
      <c r="L93" t="s">
        <v>67</v>
      </c>
      <c r="M93" t="s">
        <v>36</v>
      </c>
      <c r="N93" t="s">
        <v>68</v>
      </c>
      <c r="O93" t="s">
        <v>63</v>
      </c>
    </row>
    <row r="94" spans="1:15" x14ac:dyDescent="0.3">
      <c r="A94" t="s">
        <v>51</v>
      </c>
      <c r="B94" t="s">
        <v>72</v>
      </c>
      <c r="C94" t="s">
        <v>29</v>
      </c>
      <c r="D94" t="s">
        <v>54</v>
      </c>
      <c r="E94">
        <v>95309</v>
      </c>
      <c r="F94">
        <v>0</v>
      </c>
      <c r="G94">
        <v>0</v>
      </c>
      <c r="H94">
        <v>4.33</v>
      </c>
      <c r="I94">
        <v>100</v>
      </c>
      <c r="J94">
        <v>6.4799999999999996E-2</v>
      </c>
      <c r="K94" t="s">
        <v>65</v>
      </c>
      <c r="L94" t="s">
        <v>67</v>
      </c>
      <c r="M94" t="s">
        <v>36</v>
      </c>
      <c r="N94" t="s">
        <v>68</v>
      </c>
      <c r="O94" t="s">
        <v>63</v>
      </c>
    </row>
    <row r="95" spans="1:15" x14ac:dyDescent="0.3">
      <c r="A95" t="s">
        <v>55</v>
      </c>
      <c r="B95" t="s">
        <v>60</v>
      </c>
      <c r="C95" t="s">
        <v>46</v>
      </c>
      <c r="D95" t="s">
        <v>57</v>
      </c>
      <c r="E95">
        <v>94620</v>
      </c>
      <c r="F95">
        <v>0</v>
      </c>
      <c r="G95">
        <v>0</v>
      </c>
      <c r="H95">
        <v>6.93</v>
      </c>
      <c r="I95">
        <v>100</v>
      </c>
      <c r="J95">
        <v>6.2700000000000006E-2</v>
      </c>
      <c r="K95" t="s">
        <v>65</v>
      </c>
      <c r="L95" t="s">
        <v>67</v>
      </c>
      <c r="M95" t="s">
        <v>36</v>
      </c>
      <c r="N95" t="s">
        <v>68</v>
      </c>
      <c r="O95" t="s">
        <v>63</v>
      </c>
    </row>
    <row r="96" spans="1:15" x14ac:dyDescent="0.3">
      <c r="A96" t="s">
        <v>51</v>
      </c>
      <c r="B96" t="s">
        <v>45</v>
      </c>
      <c r="C96" t="s">
        <v>46</v>
      </c>
      <c r="D96" t="s">
        <v>54</v>
      </c>
      <c r="E96">
        <v>94436</v>
      </c>
      <c r="F96">
        <v>0</v>
      </c>
      <c r="G96">
        <v>0</v>
      </c>
      <c r="H96">
        <v>4.49</v>
      </c>
      <c r="I96">
        <v>100</v>
      </c>
      <c r="J96">
        <v>6.5199999999999994E-2</v>
      </c>
      <c r="K96" t="s">
        <v>65</v>
      </c>
      <c r="L96" t="s">
        <v>67</v>
      </c>
      <c r="M96" t="s">
        <v>36</v>
      </c>
      <c r="N96" t="s">
        <v>68</v>
      </c>
      <c r="O96" t="s">
        <v>63</v>
      </c>
    </row>
    <row r="97" spans="1:15" x14ac:dyDescent="0.3">
      <c r="A97" t="s">
        <v>44</v>
      </c>
      <c r="B97" t="s">
        <v>49</v>
      </c>
      <c r="C97" t="s">
        <v>29</v>
      </c>
      <c r="D97" t="s">
        <v>30</v>
      </c>
      <c r="E97">
        <v>94225</v>
      </c>
      <c r="F97">
        <v>0</v>
      </c>
      <c r="G97">
        <v>0</v>
      </c>
      <c r="H97">
        <v>4.1100000000000003</v>
      </c>
      <c r="I97">
        <v>100</v>
      </c>
      <c r="J97">
        <v>6.4299999999999996E-2</v>
      </c>
      <c r="K97" t="s">
        <v>65</v>
      </c>
      <c r="L97" t="s">
        <v>67</v>
      </c>
      <c r="M97" t="s">
        <v>36</v>
      </c>
      <c r="N97" t="s">
        <v>68</v>
      </c>
      <c r="O97" t="s">
        <v>63</v>
      </c>
    </row>
    <row r="98" spans="1:15" x14ac:dyDescent="0.3">
      <c r="A98" t="s">
        <v>44</v>
      </c>
      <c r="B98" t="s">
        <v>58</v>
      </c>
      <c r="C98" t="s">
        <v>43</v>
      </c>
      <c r="D98" t="s">
        <v>30</v>
      </c>
      <c r="E98">
        <v>94143</v>
      </c>
      <c r="F98">
        <v>0</v>
      </c>
      <c r="G98">
        <v>0</v>
      </c>
      <c r="H98">
        <v>6.2</v>
      </c>
      <c r="I98">
        <v>100</v>
      </c>
      <c r="J98">
        <v>6.3299999999999995E-2</v>
      </c>
      <c r="K98" t="s">
        <v>65</v>
      </c>
      <c r="L98" t="s">
        <v>67</v>
      </c>
      <c r="M98" t="s">
        <v>36</v>
      </c>
      <c r="N98" t="s">
        <v>68</v>
      </c>
      <c r="O98" t="s">
        <v>63</v>
      </c>
    </row>
    <row r="99" spans="1:15" x14ac:dyDescent="0.3">
      <c r="A99" t="s">
        <v>51</v>
      </c>
      <c r="B99" t="s">
        <v>71</v>
      </c>
      <c r="C99" t="s">
        <v>29</v>
      </c>
      <c r="D99" t="s">
        <v>54</v>
      </c>
      <c r="E99">
        <v>94023</v>
      </c>
      <c r="F99">
        <v>0</v>
      </c>
      <c r="G99">
        <v>0</v>
      </c>
      <c r="H99">
        <v>4.1500000000000004</v>
      </c>
      <c r="I99">
        <v>100</v>
      </c>
      <c r="J99">
        <v>6.5100000000000005E-2</v>
      </c>
      <c r="K99" t="s">
        <v>65</v>
      </c>
      <c r="L99" t="s">
        <v>67</v>
      </c>
      <c r="M99" t="s">
        <v>36</v>
      </c>
      <c r="N99" t="s">
        <v>68</v>
      </c>
      <c r="O99" t="s">
        <v>63</v>
      </c>
    </row>
    <row r="100" spans="1:15" x14ac:dyDescent="0.3">
      <c r="A100" t="s">
        <v>41</v>
      </c>
      <c r="B100" t="s">
        <v>47</v>
      </c>
      <c r="C100" t="s">
        <v>40</v>
      </c>
      <c r="D100" t="s">
        <v>30</v>
      </c>
      <c r="E100">
        <v>93854</v>
      </c>
      <c r="F100">
        <v>0</v>
      </c>
      <c r="G100">
        <v>0</v>
      </c>
      <c r="H100">
        <v>5.22</v>
      </c>
      <c r="I100">
        <v>100</v>
      </c>
      <c r="J100">
        <v>6.2799999999999995E-2</v>
      </c>
      <c r="K100" t="s">
        <v>65</v>
      </c>
      <c r="L100" t="s">
        <v>67</v>
      </c>
      <c r="M100" t="s">
        <v>36</v>
      </c>
      <c r="N100" t="s">
        <v>68</v>
      </c>
      <c r="O100" t="s">
        <v>63</v>
      </c>
    </row>
    <row r="101" spans="1:15" x14ac:dyDescent="0.3">
      <c r="A101" t="s">
        <v>55</v>
      </c>
      <c r="B101" t="s">
        <v>45</v>
      </c>
      <c r="C101" t="s">
        <v>46</v>
      </c>
      <c r="D101" t="s">
        <v>57</v>
      </c>
      <c r="E101">
        <v>92556</v>
      </c>
      <c r="F101">
        <v>0</v>
      </c>
      <c r="G101">
        <v>0</v>
      </c>
      <c r="H101">
        <v>6.85</v>
      </c>
      <c r="I101">
        <v>100</v>
      </c>
      <c r="J101">
        <v>6.7400000000000002E-2</v>
      </c>
      <c r="K101" t="s">
        <v>65</v>
      </c>
      <c r="L101" t="s">
        <v>67</v>
      </c>
      <c r="M101" t="s">
        <v>36</v>
      </c>
      <c r="N101" t="s">
        <v>68</v>
      </c>
      <c r="O101" t="s">
        <v>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B0FC-18D2-4CF7-A716-35D179EC162D}">
  <dimension ref="A1:E7"/>
  <sheetViews>
    <sheetView tabSelected="1" workbookViewId="0">
      <selection activeCell="E18" sqref="E18"/>
    </sheetView>
  </sheetViews>
  <sheetFormatPr defaultRowHeight="14.4" x14ac:dyDescent="0.3"/>
  <cols>
    <col min="1" max="1" width="14" bestFit="1" customWidth="1"/>
    <col min="2" max="2" width="21.109375" bestFit="1" customWidth="1"/>
    <col min="3" max="3" width="17.33203125" bestFit="1" customWidth="1"/>
    <col min="4" max="4" width="16.77734375" bestFit="1" customWidth="1"/>
    <col min="5" max="5" width="32.88671875" bestFit="1" customWidth="1"/>
  </cols>
  <sheetData>
    <row r="1" spans="1:5" x14ac:dyDescent="0.3">
      <c r="A1" t="s">
        <v>3</v>
      </c>
      <c r="B1" t="s">
        <v>23</v>
      </c>
      <c r="C1" t="s">
        <v>73</v>
      </c>
      <c r="D1" t="s">
        <v>4</v>
      </c>
      <c r="E1" t="s">
        <v>74</v>
      </c>
    </row>
    <row r="2" spans="1:5" x14ac:dyDescent="0.3">
      <c r="A2" s="3" t="s">
        <v>30</v>
      </c>
      <c r="B2" s="3" t="s">
        <v>38</v>
      </c>
      <c r="C2">
        <v>16</v>
      </c>
      <c r="D2">
        <v>1570168</v>
      </c>
      <c r="E2">
        <v>198223.24</v>
      </c>
    </row>
    <row r="3" spans="1:5" x14ac:dyDescent="0.3">
      <c r="A3" s="3" t="s">
        <v>30</v>
      </c>
      <c r="B3" s="3" t="s">
        <v>68</v>
      </c>
      <c r="C3">
        <v>44</v>
      </c>
      <c r="D3">
        <v>4403473</v>
      </c>
      <c r="E3">
        <v>0</v>
      </c>
    </row>
    <row r="4" spans="1:5" x14ac:dyDescent="0.3">
      <c r="A4" s="3" t="s">
        <v>57</v>
      </c>
      <c r="B4" s="3" t="s">
        <v>38</v>
      </c>
      <c r="C4">
        <v>4</v>
      </c>
      <c r="D4">
        <v>413323</v>
      </c>
      <c r="E4">
        <v>47126.67</v>
      </c>
    </row>
    <row r="5" spans="1:5" x14ac:dyDescent="0.3">
      <c r="A5" s="3" t="s">
        <v>57</v>
      </c>
      <c r="B5" s="3" t="s">
        <v>68</v>
      </c>
      <c r="C5">
        <v>16</v>
      </c>
      <c r="D5">
        <v>1609373</v>
      </c>
      <c r="E5">
        <v>0</v>
      </c>
    </row>
    <row r="6" spans="1:5" x14ac:dyDescent="0.3">
      <c r="A6" s="3" t="s">
        <v>54</v>
      </c>
      <c r="B6" s="3" t="s">
        <v>38</v>
      </c>
      <c r="C6">
        <v>3</v>
      </c>
      <c r="D6">
        <v>294471</v>
      </c>
      <c r="E6">
        <v>35756.57</v>
      </c>
    </row>
    <row r="7" spans="1:5" x14ac:dyDescent="0.3">
      <c r="A7" s="3" t="s">
        <v>54</v>
      </c>
      <c r="B7" s="3" t="s">
        <v>68</v>
      </c>
      <c r="C7">
        <v>17</v>
      </c>
      <c r="D7">
        <v>1684774</v>
      </c>
      <c r="E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E72B7-AA75-443F-93E2-F7B2A803F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Impact_theme_by_category</vt:lpstr>
      <vt:lpstr>Impact_prioriy_by_region</vt:lpstr>
      <vt:lpstr>Impact_theme_by_policy_status</vt:lpstr>
      <vt:lpstr>SQL_Business_Impact_Master</vt:lpstr>
      <vt:lpstr>SQL_Category_Impact_Summary</vt:lpstr>
      <vt:lpstr>SQL_Impact_Theme_Summary</vt:lpstr>
      <vt:lpstr>SQL_Overall_Impact_Summary</vt:lpstr>
      <vt:lpstr>SQL_Top_Impact_Items</vt:lpstr>
      <vt:lpstr>SQL_Region_Impact_Summary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>Neelaksh lohani</cp:lastModifiedBy>
  <dcterms:created xsi:type="dcterms:W3CDTF">2026-03-26T06:08:45Z</dcterms:created>
  <dcterms:modified xsi:type="dcterms:W3CDTF">2026-03-26T06:24:59Z</dcterms:modified>
</cp:coreProperties>
</file>