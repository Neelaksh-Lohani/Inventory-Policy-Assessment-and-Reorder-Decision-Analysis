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PW_Projects\inventory policy assessment_(#P1)\Combined_summary_sheets\"/>
    </mc:Choice>
  </mc:AlternateContent>
  <xr:revisionPtr revIDLastSave="0" documentId="13_ncr:1_{E1D0AFC1-ED3C-4A1C-80A0-95A0C2B4A95B}" xr6:coauthVersionLast="47" xr6:coauthVersionMax="47" xr10:uidLastSave="{00000000-0000-0000-0000-000000000000}"/>
  <bookViews>
    <workbookView xWindow="-108" yWindow="-108" windowWidth="23256" windowHeight="13176" tabRatio="979" activeTab="3" xr2:uid="{00000000-000D-0000-FFFF-FFFF00000000}"/>
  </bookViews>
  <sheets>
    <sheet name="Reorder_behavior_by_ABC_importa" sheetId="8" r:id="rId1"/>
    <sheet name="Safety_stock_behavior_by_variab" sheetId="9" r:id="rId2"/>
    <sheet name="Lead-time_behavior_proxy_by_reg" sheetId="10" r:id="rId3"/>
    <sheet name="SQL_RSLT_Master" sheetId="2" r:id="rId4"/>
    <sheet name="SQL_Reorder_Behavior_Summary" sheetId="3" r:id="rId5"/>
    <sheet name="SQL_Safety_Stock_Behavior_Summa" sheetId="4" r:id="rId6"/>
    <sheet name="SQL_Leadtime_Behavior_Summary" sheetId="5" r:id="rId7"/>
    <sheet name="SQL_Category_RSLT_Summary" sheetId="6" r:id="rId8"/>
    <sheet name="SQL_RSLT_Review_Priority_Items" sheetId="7" r:id="rId9"/>
  </sheets>
  <definedNames>
    <definedName name="ExternalData_1" localSheetId="7" hidden="1">SQL_Category_RSLT_Summary!$A$1:$G$11</definedName>
    <definedName name="ExternalData_1" localSheetId="6" hidden="1">SQL_Leadtime_Behavior_Summary!$A$1:$F$2</definedName>
    <definedName name="ExternalData_1" localSheetId="4" hidden="1">SQL_Reorder_Behavior_Summary!$A$1:$H$3</definedName>
    <definedName name="ExternalData_1" localSheetId="3" hidden="1">SQL_RSLT_Master!$A$1:$AE$101</definedName>
    <definedName name="ExternalData_1" localSheetId="8" hidden="1">SQL_RSLT_Review_Priority_Items!$A$1:$U$24</definedName>
    <definedName name="ExternalData_1" localSheetId="5" hidden="1">SQL_Safety_Stock_Behavior_Summa!$A$1:$H$2</definedName>
  </definedNames>
  <calcPr calcId="162913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260E5-B91F-46D5-BFF5-E0B208F5ACBA}" keepAlive="1" name="Query - SQL_Category_RSLT_Summary" description="Connection to the 'SQL_Category_RSLT_Summary' query in the workbook." type="5" refreshedVersion="8" background="1" saveData="1">
    <dbPr connection="Provider=Microsoft.Mashup.OleDb.1;Data Source=$Workbook$;Location=SQL_Category_RSLT_Summary;Extended Properties=&quot;&quot;" command="SELECT * FROM [SQL_Category_RSLT_Summary]"/>
  </connection>
  <connection id="2" xr16:uid="{5AC02B1D-BF31-4CD7-B071-DC1F009E3516}" keepAlive="1" name="Query - SQL_Leadtime_Behavior_Summary" description="Connection to the 'SQL_Leadtime_Behavior_Summary' query in the workbook." type="5" refreshedVersion="8" background="1" saveData="1">
    <dbPr connection="Provider=Microsoft.Mashup.OleDb.1;Data Source=$Workbook$;Location=SQL_Leadtime_Behavior_Summary;Extended Properties=&quot;&quot;" command="SELECT * FROM [SQL_Leadtime_Behavior_Summary]"/>
  </connection>
  <connection id="3" xr16:uid="{44762CB7-6376-4B14-B703-9F48B4DA1283}" keepAlive="1" name="Query - SQL_Reorder_Behavior_Summary" description="Connection to the 'SQL_Reorder_Behavior_Summary' query in the workbook." type="5" refreshedVersion="8" background="1" saveData="1">
    <dbPr connection="Provider=Microsoft.Mashup.OleDb.1;Data Source=$Workbook$;Location=SQL_Reorder_Behavior_Summary;Extended Properties=&quot;&quot;" command="SELECT * FROM [SQL_Reorder_Behavior_Summary]"/>
  </connection>
  <connection id="4" xr16:uid="{566FF864-3542-4411-8EAB-3589DA743DC0}" keepAlive="1" name="Query - SQL_RSLT_Master" description="Connection to the 'SQL_RSLT_Master' query in the workbook." type="5" refreshedVersion="8" background="1" saveData="1">
    <dbPr connection="Provider=Microsoft.Mashup.OleDb.1;Data Source=$Workbook$;Location=SQL_RSLT_Master;Extended Properties=&quot;&quot;" command="SELECT * FROM [SQL_RSLT_Master]"/>
  </connection>
  <connection id="5" xr16:uid="{7A25538A-F3C7-4D15-B46A-E90536EF2051}" keepAlive="1" name="Query - SQL_RSLT_Review_Priority_Items" description="Connection to the 'SQL_RSLT_Review_Priority_Items' query in the workbook." type="5" refreshedVersion="8" background="1" saveData="1">
    <dbPr connection="Provider=Microsoft.Mashup.OleDb.1;Data Source=$Workbook$;Location=SQL_RSLT_Review_Priority_Items;Extended Properties=&quot;&quot;" command="SELECT * FROM [SQL_RSLT_Review_Priority_Items]"/>
  </connection>
  <connection id="6" xr16:uid="{B1C0BC01-71FC-4DF6-B86E-AEBF4E1B97B2}" keepAlive="1" name="Query - SQL_Safety_Stock_Behavior_Summary" description="Connection to the 'SQL_Safety_Stock_Behavior_Summary' query in the workbook." type="5" refreshedVersion="8" background="1" saveData="1">
    <dbPr connection="Provider=Microsoft.Mashup.OleDb.1;Data Source=$Workbook$;Location=SQL_Safety_Stock_Behavior_Summary;Extended Properties=&quot;&quot;" command="SELECT * FROM [SQL_Safety_Stock_Behavior_Summary]"/>
  </connection>
</connections>
</file>

<file path=xl/sharedStrings.xml><?xml version="1.0" encoding="utf-8"?>
<sst xmlns="http://schemas.openxmlformats.org/spreadsheetml/2006/main" count="1137" uniqueCount="83">
  <si>
    <t>store_id</t>
  </si>
  <si>
    <t>product_id</t>
  </si>
  <si>
    <t>category_clean</t>
  </si>
  <si>
    <t>region_clean</t>
  </si>
  <si>
    <t>row_count</t>
  </si>
  <si>
    <t>total_units_sold</t>
  </si>
  <si>
    <t>total_units_ordered</t>
  </si>
  <si>
    <t>avg_daily_demand</t>
  </si>
  <si>
    <t>demand_stddev</t>
  </si>
  <si>
    <t>demand_cv</t>
  </si>
  <si>
    <t>avg_daily_forecast</t>
  </si>
  <si>
    <t>forecast_stddev</t>
  </si>
  <si>
    <t>avg_inventory_level</t>
  </si>
  <si>
    <t>avg_cover_days</t>
  </si>
  <si>
    <t>low_cover_pct</t>
  </si>
  <si>
    <t>high_cover_pct</t>
  </si>
  <si>
    <t>zero_inventory_pct</t>
  </si>
  <si>
    <t>order_day_pct</t>
  </si>
  <si>
    <t>wape</t>
  </si>
  <si>
    <t>forecast_bias</t>
  </si>
  <si>
    <t>total_at_risk_units_proxy</t>
  </si>
  <si>
    <t>total_excess_units_proxy</t>
  </si>
  <si>
    <t>order_event_count</t>
  </si>
  <si>
    <t>avg_order_size_on_order_days</t>
  </si>
  <si>
    <t>order_size_stddev</t>
  </si>
  <si>
    <t>avg_days_between_orders</t>
  </si>
  <si>
    <t>stddev_days_between_orders</t>
  </si>
  <si>
    <t>reorder_behavior_assessment</t>
  </si>
  <si>
    <t>safety_stock_behavior_assessment</t>
  </si>
  <si>
    <t>lead_time_behavior_proxy</t>
  </si>
  <si>
    <t>demand_variability_band</t>
  </si>
  <si>
    <t>S005</t>
  </si>
  <si>
    <t>P0015</t>
  </si>
  <si>
    <t>Furniture</t>
  </si>
  <si>
    <t>East</t>
  </si>
  <si>
    <t>Trigger Broadly Reasonable</t>
  </si>
  <si>
    <t>Buffer Broadly Adequate</t>
  </si>
  <si>
    <t>Continuous Daily Ordering</t>
  </si>
  <si>
    <t>Medium Variability</t>
  </si>
  <si>
    <t>S003</t>
  </si>
  <si>
    <t>P0013</t>
  </si>
  <si>
    <t>Groceries</t>
  </si>
  <si>
    <t>South</t>
  </si>
  <si>
    <t>S002</t>
  </si>
  <si>
    <t>P0001</t>
  </si>
  <si>
    <t>P0003</t>
  </si>
  <si>
    <t>P0005</t>
  </si>
  <si>
    <t>Trigger Too Early / Excessive</t>
  </si>
  <si>
    <t>P0009</t>
  </si>
  <si>
    <t>P0020</t>
  </si>
  <si>
    <t>Toys</t>
  </si>
  <si>
    <t>P0014</t>
  </si>
  <si>
    <t>S004</t>
  </si>
  <si>
    <t>P0016</t>
  </si>
  <si>
    <t>West</t>
  </si>
  <si>
    <t>P0017</t>
  </si>
  <si>
    <t>Clothing</t>
  </si>
  <si>
    <t>P0019</t>
  </si>
  <si>
    <t>P0002</t>
  </si>
  <si>
    <t>S001</t>
  </si>
  <si>
    <t>P0006</t>
  </si>
  <si>
    <t>P0004</t>
  </si>
  <si>
    <t>Electronics</t>
  </si>
  <si>
    <t>P0012</t>
  </si>
  <si>
    <t>P0018</t>
  </si>
  <si>
    <t>P0011</t>
  </si>
  <si>
    <t>P0007</t>
  </si>
  <si>
    <t>P0010</t>
  </si>
  <si>
    <t>P0008</t>
  </si>
  <si>
    <t>sku_store_count</t>
  </si>
  <si>
    <t>avg_low_cover_pct</t>
  </si>
  <si>
    <t>avg_high_cover_pct</t>
  </si>
  <si>
    <t>avg_demand_cv</t>
  </si>
  <si>
    <t>avg_wape</t>
  </si>
  <si>
    <t>avg_order_day_pct</t>
  </si>
  <si>
    <t>avg_stddev_days_between_orders</t>
  </si>
  <si>
    <t>Row Labels</t>
  </si>
  <si>
    <t>Grand Total</t>
  </si>
  <si>
    <t>Column Labels</t>
  </si>
  <si>
    <t>Count of product_id</t>
  </si>
  <si>
    <t>Total Count of product_id</t>
  </si>
  <si>
    <t>Total Sum of total_units_sold</t>
  </si>
  <si>
    <t>Sum of total_units_sold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</si>
</sst>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ksh lohani" refreshedDate="46106.735574537037" createdVersion="8" refreshedVersion="8" minRefreshableVersion="3" recordCount="100" xr:uid="{E811C264-627E-43E6-9868-66C5ED717162}">
  <cacheSource type="worksheet">
    <worksheetSource name="SQL_RSLT_Master"/>
  </cacheSource>
  <cacheFields count="31">
    <cacheField name="store_id" numFmtId="0">
      <sharedItems/>
    </cacheField>
    <cacheField name="product_id" numFmtId="0">
      <sharedItems/>
    </cacheField>
    <cacheField name="category_clean" numFmtId="0">
      <sharedItems count="5">
        <s v="Furniture"/>
        <s v="Groceries"/>
        <s v="Toys"/>
        <s v="Clothing"/>
        <s v="Electronics"/>
      </sharedItems>
    </cacheField>
    <cacheField name="region_clean" numFmtId="0">
      <sharedItems count="3">
        <s v="East"/>
        <s v="South"/>
        <s v="West"/>
      </sharedItems>
    </cacheField>
    <cacheField name="row_count" numFmtId="0">
      <sharedItems containsSemiMixedTypes="0" containsString="0" containsNumber="1" containsInteger="1" minValue="731" maxValue="731"/>
    </cacheField>
    <cacheField name="total_units_sold" numFmtId="0">
      <sharedItems containsSemiMixedTypes="0" containsString="0" containsNumber="1" containsInteger="1" minValue="92556" maxValue="109099"/>
    </cacheField>
    <cacheField name="total_units_ordered" numFmtId="0">
      <sharedItems containsSemiMixedTypes="0" containsString="0" containsNumber="1" containsInteger="1" minValue="77433" maxValue="83870"/>
    </cacheField>
    <cacheField name="avg_daily_demand" numFmtId="0">
      <sharedItems containsSemiMixedTypes="0" containsString="0" containsNumber="1" minValue="126.62" maxValue="149.25"/>
    </cacheField>
    <cacheField name="demand_stddev" numFmtId="0">
      <sharedItems containsSemiMixedTypes="0" containsString="0" containsNumber="1" minValue="102.24" maxValue="115.68"/>
    </cacheField>
    <cacheField name="demand_cv" numFmtId="0">
      <sharedItems containsSemiMixedTypes="0" containsString="0" containsNumber="1" minValue="0.74560000000000004" maxValue="0.83709999999999996"/>
    </cacheField>
    <cacheField name="avg_daily_forecast" numFmtId="0">
      <sharedItems containsSemiMixedTypes="0" containsString="0" containsNumber="1" minValue="131.72999999999999" maxValue="154.85"/>
    </cacheField>
    <cacheField name="forecast_stddev" numFmtId="0">
      <sharedItems containsSemiMixedTypes="0" containsString="0" containsNumber="1" minValue="102.41" maxValue="115.89"/>
    </cacheField>
    <cacheField name="avg_inventory_level" numFmtId="0">
      <sharedItems containsSemiMixedTypes="0" containsString="0" containsNumber="1" minValue="262.13" maxValue="290.87"/>
    </cacheField>
    <cacheField name="avg_cover_days" numFmtId="0">
      <sharedItems containsSemiMixedTypes="0" containsString="0" containsNumber="1" minValue="3.52" maxValue="34.56"/>
    </cacheField>
    <cacheField name="low_cover_pct" numFmtId="0">
      <sharedItems containsSemiMixedTypes="0" containsString="0" containsNumber="1" minValue="2.0499999999999998" maxValue="4.92"/>
    </cacheField>
    <cacheField name="high_cover_pct" numFmtId="0">
      <sharedItems containsSemiMixedTypes="0" containsString="0" containsNumber="1" minValue="8.07" maxValue="13.68"/>
    </cacheField>
    <cacheField name="zero_inventory_pct" numFmtId="0">
      <sharedItems containsSemiMixedTypes="0" containsString="0" containsNumber="1" containsInteger="1" minValue="0" maxValue="0"/>
    </cacheField>
    <cacheField name="order_day_pct" numFmtId="0">
      <sharedItems containsSemiMixedTypes="0" containsString="0" containsNumber="1" containsInteger="1" minValue="100" maxValue="100"/>
    </cacheField>
    <cacheField name="wape" numFmtId="0">
      <sharedItems containsSemiMixedTypes="0" containsString="0" containsNumber="1" minValue="5.5500000000000001E-2" maxValue="6.7400000000000002E-2"/>
    </cacheField>
    <cacheField name="forecast_bias" numFmtId="0">
      <sharedItems containsSemiMixedTypes="0" containsString="0" containsNumber="1" minValue="3.15E-2" maxValue="4.4299999999999999E-2"/>
    </cacheField>
    <cacheField name="total_at_risk_units_proxy" numFmtId="0">
      <sharedItems containsSemiMixedTypes="0" containsString="0" containsNumber="1" minValue="75.3" maxValue="280.58999999999997"/>
    </cacheField>
    <cacheField name="total_excess_units_proxy" numFmtId="0">
      <sharedItems containsSemiMixedTypes="0" containsString="0" containsNumber="1" minValue="8660.85" maxValue="17050.64"/>
    </cacheField>
    <cacheField name="order_event_count" numFmtId="0">
      <sharedItems containsSemiMixedTypes="0" containsString="0" containsNumber="1" containsInteger="1" minValue="731" maxValue="731"/>
    </cacheField>
    <cacheField name="avg_order_size_on_order_days" numFmtId="0">
      <sharedItems containsSemiMixedTypes="0" containsString="0" containsNumber="1" minValue="105.93" maxValue="114.73"/>
    </cacheField>
    <cacheField name="order_size_stddev" numFmtId="0">
      <sharedItems containsSemiMixedTypes="0" containsString="0" containsNumber="1" minValue="49.96" maxValue="55.25"/>
    </cacheField>
    <cacheField name="avg_days_between_orders" numFmtId="0">
      <sharedItems containsSemiMixedTypes="0" containsString="0" containsNumber="1" containsInteger="1" minValue="1" maxValue="1"/>
    </cacheField>
    <cacheField name="stddev_days_between_orders" numFmtId="0">
      <sharedItems containsSemiMixedTypes="0" containsString="0" containsNumber="1" containsInteger="1" minValue="0" maxValue="0"/>
    </cacheField>
    <cacheField name="reorder_behavior_assessment" numFmtId="0">
      <sharedItems count="2">
        <s v="Trigger Broadly Reasonable"/>
        <s v="Trigger Too Early / Excessive"/>
      </sharedItems>
    </cacheField>
    <cacheField name="safety_stock_behavior_assessment" numFmtId="0">
      <sharedItems count="1">
        <s v="Buffer Broadly Adequate"/>
      </sharedItems>
    </cacheField>
    <cacheField name="lead_time_behavior_proxy" numFmtId="0">
      <sharedItems count="1">
        <s v="Continuous Daily Ordering"/>
      </sharedItems>
    </cacheField>
    <cacheField name="demand_variability_band" numFmtId="0">
      <sharedItems count="1">
        <s v="Medium Variabil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5"/>
    <s v="P0015"/>
    <x v="0"/>
    <x v="0"/>
    <n v="731"/>
    <n v="109099"/>
    <n v="77855"/>
    <n v="149.25"/>
    <n v="115.68"/>
    <n v="0.77510000000000001"/>
    <n v="154.85"/>
    <n v="115.89"/>
    <n v="277.91000000000003"/>
    <n v="4.04"/>
    <n v="4.79"/>
    <n v="8.48"/>
    <n v="0"/>
    <n v="100"/>
    <n v="5.7200000000000001E-2"/>
    <n v="3.7499999999999999E-2"/>
    <n v="164.59"/>
    <n v="9342.2900000000009"/>
    <n v="731"/>
    <n v="106.5"/>
    <n v="53.43"/>
    <n v="1"/>
    <n v="0"/>
    <x v="0"/>
    <x v="0"/>
    <x v="0"/>
    <x v="0"/>
  </r>
  <r>
    <s v="S003"/>
    <s v="P0013"/>
    <x v="1"/>
    <x v="1"/>
    <n v="731"/>
    <n v="107479"/>
    <n v="81673"/>
    <n v="147.03"/>
    <n v="112.6"/>
    <n v="0.76590000000000003"/>
    <n v="151.66"/>
    <n v="112.63"/>
    <n v="285.26"/>
    <n v="4.4000000000000004"/>
    <n v="2.74"/>
    <n v="9.99"/>
    <n v="0"/>
    <n v="100"/>
    <n v="5.57E-2"/>
    <n v="3.15E-2"/>
    <n v="151.84"/>
    <n v="11155.79"/>
    <n v="731"/>
    <n v="111.73"/>
    <n v="51.81"/>
    <n v="1"/>
    <n v="0"/>
    <x v="0"/>
    <x v="0"/>
    <x v="0"/>
    <x v="0"/>
  </r>
  <r>
    <s v="S002"/>
    <s v="P0001"/>
    <x v="1"/>
    <x v="0"/>
    <n v="731"/>
    <n v="105999"/>
    <n v="80793"/>
    <n v="145.01"/>
    <n v="113.57"/>
    <n v="0.78320000000000001"/>
    <n v="149.69999999999999"/>
    <n v="113.63"/>
    <n v="278.33999999999997"/>
    <n v="4.28"/>
    <n v="3.28"/>
    <n v="9.58"/>
    <n v="0"/>
    <n v="100"/>
    <n v="5.5500000000000001E-2"/>
    <n v="3.2399999999999998E-2"/>
    <n v="164.19"/>
    <n v="9487.7199999999993"/>
    <n v="731"/>
    <n v="110.52"/>
    <n v="50.5"/>
    <n v="1"/>
    <n v="0"/>
    <x v="0"/>
    <x v="0"/>
    <x v="0"/>
    <x v="0"/>
  </r>
  <r>
    <s v="S005"/>
    <s v="P0003"/>
    <x v="1"/>
    <x v="0"/>
    <n v="731"/>
    <n v="105667"/>
    <n v="81734"/>
    <n v="144.55000000000001"/>
    <n v="111.93"/>
    <n v="0.77429999999999999"/>
    <n v="149.99"/>
    <n v="113.04"/>
    <n v="283.99"/>
    <n v="5.09"/>
    <n v="3.42"/>
    <n v="10.53"/>
    <n v="0"/>
    <n v="100"/>
    <n v="5.9200000000000003E-2"/>
    <n v="3.7600000000000001E-2"/>
    <n v="137.07"/>
    <n v="12436.39"/>
    <n v="731"/>
    <n v="111.81"/>
    <n v="52.98"/>
    <n v="1"/>
    <n v="0"/>
    <x v="0"/>
    <x v="0"/>
    <x v="0"/>
    <x v="0"/>
  </r>
  <r>
    <s v="S003"/>
    <s v="P0005"/>
    <x v="1"/>
    <x v="1"/>
    <n v="731"/>
    <n v="105408"/>
    <n v="81982"/>
    <n v="144.19999999999999"/>
    <n v="109.34"/>
    <n v="0.75829999999999997"/>
    <n v="148.97"/>
    <n v="110.11"/>
    <n v="277.57"/>
    <n v="8.6300000000000008"/>
    <n v="2.87"/>
    <n v="10.81"/>
    <n v="0"/>
    <n v="100"/>
    <n v="5.7500000000000002E-2"/>
    <n v="3.3099999999999997E-2"/>
    <n v="173.31"/>
    <n v="11387.28"/>
    <n v="731"/>
    <n v="112.15"/>
    <n v="51.92"/>
    <n v="1"/>
    <n v="0"/>
    <x v="1"/>
    <x v="0"/>
    <x v="0"/>
    <x v="0"/>
  </r>
  <r>
    <s v="S002"/>
    <s v="P0009"/>
    <x v="0"/>
    <x v="0"/>
    <n v="731"/>
    <n v="105376"/>
    <n v="80265"/>
    <n v="144.15"/>
    <n v="112.42"/>
    <n v="0.77990000000000004"/>
    <n v="149.18"/>
    <n v="112.51"/>
    <n v="282.95"/>
    <n v="3.81"/>
    <n v="3.69"/>
    <n v="11.35"/>
    <n v="0"/>
    <n v="100"/>
    <n v="5.8000000000000003E-2"/>
    <n v="3.49E-2"/>
    <n v="219.7"/>
    <n v="11882.97"/>
    <n v="731"/>
    <n v="109.8"/>
    <n v="52.07"/>
    <n v="1"/>
    <n v="0"/>
    <x v="0"/>
    <x v="0"/>
    <x v="0"/>
    <x v="0"/>
  </r>
  <r>
    <s v="S002"/>
    <s v="P0020"/>
    <x v="2"/>
    <x v="0"/>
    <n v="731"/>
    <n v="105343"/>
    <n v="81092"/>
    <n v="144.11000000000001"/>
    <n v="113.54"/>
    <n v="0.78790000000000004"/>
    <n v="148.9"/>
    <n v="113.26"/>
    <n v="276.31"/>
    <n v="4.5199999999999996"/>
    <n v="4.6500000000000004"/>
    <n v="10.67"/>
    <n v="0"/>
    <n v="100"/>
    <n v="5.7700000000000001E-2"/>
    <n v="3.32E-2"/>
    <n v="257.39"/>
    <n v="8660.85"/>
    <n v="731"/>
    <n v="110.93"/>
    <n v="51.9"/>
    <n v="1"/>
    <n v="0"/>
    <x v="0"/>
    <x v="0"/>
    <x v="0"/>
    <x v="0"/>
  </r>
  <r>
    <s v="S003"/>
    <s v="P0014"/>
    <x v="2"/>
    <x v="1"/>
    <n v="731"/>
    <n v="105188"/>
    <n v="81461"/>
    <n v="143.9"/>
    <n v="113.02"/>
    <n v="0.78549999999999998"/>
    <n v="148.86000000000001"/>
    <n v="113.33"/>
    <n v="290.87"/>
    <n v="6.32"/>
    <n v="3.56"/>
    <n v="11.9"/>
    <n v="0"/>
    <n v="100"/>
    <n v="5.7700000000000001E-2"/>
    <n v="3.4500000000000003E-2"/>
    <n v="163.38"/>
    <n v="14085.25"/>
    <n v="731"/>
    <n v="111.44"/>
    <n v="50.33"/>
    <n v="1"/>
    <n v="0"/>
    <x v="0"/>
    <x v="0"/>
    <x v="0"/>
    <x v="0"/>
  </r>
  <r>
    <s v="S004"/>
    <s v="P0016"/>
    <x v="1"/>
    <x v="2"/>
    <n v="731"/>
    <n v="104777"/>
    <n v="80588"/>
    <n v="143.33000000000001"/>
    <n v="107.7"/>
    <n v="0.75139999999999996"/>
    <n v="148.06"/>
    <n v="107.88"/>
    <n v="280.27"/>
    <n v="4.67"/>
    <n v="2.74"/>
    <n v="9.7100000000000009"/>
    <n v="0"/>
    <n v="100"/>
    <n v="5.6500000000000002E-2"/>
    <n v="3.3000000000000002E-2"/>
    <n v="105.45"/>
    <n v="10500.37"/>
    <n v="731"/>
    <n v="110.24"/>
    <n v="52.68"/>
    <n v="1"/>
    <n v="0"/>
    <x v="0"/>
    <x v="0"/>
    <x v="0"/>
    <x v="0"/>
  </r>
  <r>
    <s v="S003"/>
    <s v="P0017"/>
    <x v="3"/>
    <x v="1"/>
    <n v="731"/>
    <n v="104566"/>
    <n v="79597"/>
    <n v="143.05000000000001"/>
    <n v="107.78"/>
    <n v="0.75339999999999996"/>
    <n v="148.37"/>
    <n v="108.74"/>
    <n v="277.14999999999998"/>
    <n v="6.96"/>
    <n v="3.56"/>
    <n v="10.4"/>
    <n v="0"/>
    <n v="100"/>
    <n v="5.9900000000000002E-2"/>
    <n v="3.7199999999999997E-2"/>
    <n v="148.24"/>
    <n v="11578.25"/>
    <n v="731"/>
    <n v="108.89"/>
    <n v="53.16"/>
    <n v="1"/>
    <n v="0"/>
    <x v="0"/>
    <x v="0"/>
    <x v="0"/>
    <x v="0"/>
  </r>
  <r>
    <s v="S003"/>
    <s v="P0019"/>
    <x v="3"/>
    <x v="1"/>
    <n v="731"/>
    <n v="104524"/>
    <n v="79712"/>
    <n v="142.99"/>
    <n v="111.2"/>
    <n v="0.77769999999999995"/>
    <n v="148.69"/>
    <n v="111.56"/>
    <n v="277.97000000000003"/>
    <n v="5.08"/>
    <n v="4.24"/>
    <n v="10.94"/>
    <n v="0"/>
    <n v="100"/>
    <n v="6.13E-2"/>
    <n v="3.9899999999999998E-2"/>
    <n v="232.62"/>
    <n v="10534.34"/>
    <n v="731"/>
    <n v="109.05"/>
    <n v="52.6"/>
    <n v="1"/>
    <n v="0"/>
    <x v="0"/>
    <x v="0"/>
    <x v="0"/>
    <x v="0"/>
  </r>
  <r>
    <s v="S003"/>
    <s v="P0002"/>
    <x v="0"/>
    <x v="1"/>
    <n v="731"/>
    <n v="104350"/>
    <n v="79658"/>
    <n v="142.75"/>
    <n v="111.97"/>
    <n v="0.78439999999999999"/>
    <n v="147.74"/>
    <n v="112.85"/>
    <n v="282.27999999999997"/>
    <n v="9.42"/>
    <n v="3.28"/>
    <n v="10.53"/>
    <n v="0"/>
    <n v="100"/>
    <n v="5.6899999999999999E-2"/>
    <n v="3.5000000000000003E-2"/>
    <n v="166.32"/>
    <n v="12208.35"/>
    <n v="731"/>
    <n v="108.97"/>
    <n v="51.29"/>
    <n v="1"/>
    <n v="0"/>
    <x v="1"/>
    <x v="0"/>
    <x v="0"/>
    <x v="0"/>
  </r>
  <r>
    <s v="S004"/>
    <s v="P0014"/>
    <x v="2"/>
    <x v="2"/>
    <n v="731"/>
    <n v="103904"/>
    <n v="81191"/>
    <n v="142.13999999999999"/>
    <n v="111"/>
    <n v="0.78090000000000004"/>
    <n v="146.94999999999999"/>
    <n v="110.76"/>
    <n v="282.35000000000002"/>
    <n v="6.62"/>
    <n v="2.74"/>
    <n v="11.08"/>
    <n v="0"/>
    <n v="100"/>
    <n v="5.6899999999999999E-2"/>
    <n v="3.3799999999999997E-2"/>
    <n v="158.1"/>
    <n v="11526.27"/>
    <n v="731"/>
    <n v="111.07"/>
    <n v="52"/>
    <n v="1"/>
    <n v="0"/>
    <x v="0"/>
    <x v="0"/>
    <x v="0"/>
    <x v="0"/>
  </r>
  <r>
    <s v="S005"/>
    <s v="P0005"/>
    <x v="1"/>
    <x v="0"/>
    <n v="731"/>
    <n v="103703"/>
    <n v="80952"/>
    <n v="141.86000000000001"/>
    <n v="105.77"/>
    <n v="0.74560000000000004"/>
    <n v="146.6"/>
    <n v="105.97"/>
    <n v="276.77999999999997"/>
    <n v="3.52"/>
    <n v="3.97"/>
    <n v="8.07"/>
    <n v="0"/>
    <n v="100"/>
    <n v="5.6800000000000003E-2"/>
    <n v="3.3399999999999999E-2"/>
    <n v="208.87"/>
    <n v="8856.1"/>
    <n v="731"/>
    <n v="110.74"/>
    <n v="51.59"/>
    <n v="1"/>
    <n v="0"/>
    <x v="0"/>
    <x v="0"/>
    <x v="0"/>
    <x v="0"/>
  </r>
  <r>
    <s v="S003"/>
    <s v="P0016"/>
    <x v="1"/>
    <x v="1"/>
    <n v="731"/>
    <n v="103641"/>
    <n v="81896"/>
    <n v="141.78"/>
    <n v="111.65"/>
    <n v="0.78749999999999998"/>
    <n v="146.32"/>
    <n v="112.49"/>
    <n v="277.99"/>
    <n v="6.25"/>
    <n v="4.51"/>
    <n v="12.59"/>
    <n v="0"/>
    <n v="100"/>
    <n v="5.7700000000000001E-2"/>
    <n v="3.2000000000000001E-2"/>
    <n v="183.7"/>
    <n v="13500.67"/>
    <n v="731"/>
    <n v="112.03"/>
    <n v="52.78"/>
    <n v="1"/>
    <n v="0"/>
    <x v="0"/>
    <x v="0"/>
    <x v="0"/>
    <x v="0"/>
  </r>
  <r>
    <s v="S001"/>
    <s v="P0003"/>
    <x v="1"/>
    <x v="0"/>
    <n v="731"/>
    <n v="103393"/>
    <n v="83635"/>
    <n v="141.44"/>
    <n v="107.21"/>
    <n v="0.75800000000000001"/>
    <n v="146.57"/>
    <n v="107.47"/>
    <n v="274.54000000000002"/>
    <n v="4.3899999999999997"/>
    <n v="3.97"/>
    <n v="10.4"/>
    <n v="0"/>
    <n v="100"/>
    <n v="5.8500000000000003E-2"/>
    <n v="3.6200000000000003E-2"/>
    <n v="171.26"/>
    <n v="10491.14"/>
    <n v="731"/>
    <n v="114.41"/>
    <n v="54.63"/>
    <n v="1"/>
    <n v="0"/>
    <x v="0"/>
    <x v="0"/>
    <x v="0"/>
    <x v="0"/>
  </r>
  <r>
    <s v="S004"/>
    <s v="P0006"/>
    <x v="1"/>
    <x v="2"/>
    <n v="731"/>
    <n v="103147"/>
    <n v="79770"/>
    <n v="141.1"/>
    <n v="108.44"/>
    <n v="0.76849999999999996"/>
    <n v="146.06"/>
    <n v="108.51"/>
    <n v="273.60000000000002"/>
    <n v="4.53"/>
    <n v="4.24"/>
    <n v="8.34"/>
    <n v="0"/>
    <n v="100"/>
    <n v="5.91E-2"/>
    <n v="3.5099999999999999E-2"/>
    <n v="280.58999999999997"/>
    <n v="9432.14"/>
    <n v="731"/>
    <n v="109.12"/>
    <n v="51.15"/>
    <n v="1"/>
    <n v="0"/>
    <x v="0"/>
    <x v="0"/>
    <x v="0"/>
    <x v="0"/>
  </r>
  <r>
    <s v="S001"/>
    <s v="P0004"/>
    <x v="4"/>
    <x v="0"/>
    <n v="731"/>
    <n v="103001"/>
    <n v="78936"/>
    <n v="140.9"/>
    <n v="113.64"/>
    <n v="0.80649999999999999"/>
    <n v="146.07"/>
    <n v="113.46"/>
    <n v="275.91000000000003"/>
    <n v="4.91"/>
    <n v="3.83"/>
    <n v="12.72"/>
    <n v="0"/>
    <n v="100"/>
    <n v="5.9499999999999997E-2"/>
    <n v="3.6700000000000003E-2"/>
    <n v="147.80000000000001"/>
    <n v="13697.88"/>
    <n v="731"/>
    <n v="107.98"/>
    <n v="52.54"/>
    <n v="1"/>
    <n v="0"/>
    <x v="0"/>
    <x v="0"/>
    <x v="0"/>
    <x v="0"/>
  </r>
  <r>
    <s v="S003"/>
    <s v="P0009"/>
    <x v="0"/>
    <x v="1"/>
    <n v="731"/>
    <n v="102682"/>
    <n v="80566"/>
    <n v="140.47"/>
    <n v="112.71"/>
    <n v="0.8024"/>
    <n v="145.57"/>
    <n v="113.64"/>
    <n v="280.16000000000003"/>
    <n v="4.5599999999999996"/>
    <n v="3.83"/>
    <n v="11.63"/>
    <n v="0"/>
    <n v="100"/>
    <n v="5.79E-2"/>
    <n v="3.6299999999999999E-2"/>
    <n v="217.02"/>
    <n v="12483.16"/>
    <n v="731"/>
    <n v="110.21"/>
    <n v="52.66"/>
    <n v="1"/>
    <n v="0"/>
    <x v="0"/>
    <x v="0"/>
    <x v="0"/>
    <x v="0"/>
  </r>
  <r>
    <s v="S002"/>
    <s v="P0012"/>
    <x v="3"/>
    <x v="0"/>
    <n v="731"/>
    <n v="102528"/>
    <n v="81020"/>
    <n v="140.26"/>
    <n v="111.78"/>
    <n v="0.79700000000000004"/>
    <n v="145.38999999999999"/>
    <n v="111.98"/>
    <n v="271.63"/>
    <n v="4.8"/>
    <n v="3.01"/>
    <n v="9.17"/>
    <n v="0"/>
    <n v="100"/>
    <n v="5.9900000000000002E-2"/>
    <n v="3.6600000000000001E-2"/>
    <n v="188.54"/>
    <n v="10025.16"/>
    <n v="731"/>
    <n v="110.83"/>
    <n v="52.41"/>
    <n v="1"/>
    <n v="0"/>
    <x v="0"/>
    <x v="0"/>
    <x v="0"/>
    <x v="0"/>
  </r>
  <r>
    <s v="S002"/>
    <s v="P0018"/>
    <x v="4"/>
    <x v="0"/>
    <n v="731"/>
    <n v="102482"/>
    <n v="80004"/>
    <n v="140.19"/>
    <n v="111.49"/>
    <n v="0.79520000000000002"/>
    <n v="145.01"/>
    <n v="111.97"/>
    <n v="272.02999999999997"/>
    <n v="4.13"/>
    <n v="3.97"/>
    <n v="12.18"/>
    <n v="0"/>
    <n v="100"/>
    <n v="5.7799999999999997E-2"/>
    <n v="3.44E-2"/>
    <n v="179.85"/>
    <n v="11634.2"/>
    <n v="731"/>
    <n v="109.44"/>
    <n v="52.82"/>
    <n v="1"/>
    <n v="0"/>
    <x v="0"/>
    <x v="0"/>
    <x v="0"/>
    <x v="0"/>
  </r>
  <r>
    <s v="S003"/>
    <s v="P0006"/>
    <x v="1"/>
    <x v="1"/>
    <n v="731"/>
    <n v="102173"/>
    <n v="78454"/>
    <n v="139.77000000000001"/>
    <n v="114.1"/>
    <n v="0.81630000000000003"/>
    <n v="144.69999999999999"/>
    <n v="114.27"/>
    <n v="277.82"/>
    <n v="7.08"/>
    <n v="3.56"/>
    <n v="11.63"/>
    <n v="0"/>
    <n v="100"/>
    <n v="5.7599999999999998E-2"/>
    <n v="3.5299999999999998E-2"/>
    <n v="200.99"/>
    <n v="12309.92"/>
    <n v="731"/>
    <n v="107.32"/>
    <n v="52.13"/>
    <n v="1"/>
    <n v="0"/>
    <x v="1"/>
    <x v="0"/>
    <x v="0"/>
    <x v="0"/>
  </r>
  <r>
    <s v="S004"/>
    <s v="P0011"/>
    <x v="4"/>
    <x v="2"/>
    <n v="731"/>
    <n v="102149"/>
    <n v="78526"/>
    <n v="139.74"/>
    <n v="106.62"/>
    <n v="0.76300000000000001"/>
    <n v="144.87"/>
    <n v="106.5"/>
    <n v="271.73"/>
    <n v="6.71"/>
    <n v="3.42"/>
    <n v="9.85"/>
    <n v="0"/>
    <n v="100"/>
    <n v="6.0499999999999998E-2"/>
    <n v="3.6700000000000003E-2"/>
    <n v="166.42"/>
    <n v="9790.9599999999991"/>
    <n v="731"/>
    <n v="107.42"/>
    <n v="55.25"/>
    <n v="1"/>
    <n v="0"/>
    <x v="0"/>
    <x v="0"/>
    <x v="0"/>
    <x v="0"/>
  </r>
  <r>
    <s v="S005"/>
    <s v="P0013"/>
    <x v="1"/>
    <x v="0"/>
    <n v="731"/>
    <n v="101844"/>
    <n v="81039"/>
    <n v="139.32"/>
    <n v="107.31"/>
    <n v="0.77029999999999998"/>
    <n v="144.62"/>
    <n v="107.77"/>
    <n v="283.81"/>
    <n v="6.55"/>
    <n v="4.92"/>
    <n v="10.94"/>
    <n v="0"/>
    <n v="100"/>
    <n v="6.0699999999999997E-2"/>
    <n v="3.8100000000000002E-2"/>
    <n v="209.46"/>
    <n v="11966.4"/>
    <n v="731"/>
    <n v="110.86"/>
    <n v="52.02"/>
    <n v="1"/>
    <n v="0"/>
    <x v="0"/>
    <x v="0"/>
    <x v="0"/>
    <x v="0"/>
  </r>
  <r>
    <s v="S005"/>
    <s v="P0016"/>
    <x v="1"/>
    <x v="0"/>
    <n v="731"/>
    <n v="101821"/>
    <n v="79637"/>
    <n v="139.29"/>
    <n v="111.58"/>
    <n v="0.80100000000000005"/>
    <n v="144.44"/>
    <n v="112.14"/>
    <n v="278.39999999999998"/>
    <n v="5.93"/>
    <n v="3.56"/>
    <n v="12.31"/>
    <n v="0"/>
    <n v="100"/>
    <n v="5.8700000000000002E-2"/>
    <n v="3.6999999999999998E-2"/>
    <n v="132.63999999999999"/>
    <n v="11079.31"/>
    <n v="731"/>
    <n v="108.94"/>
    <n v="52.78"/>
    <n v="1"/>
    <n v="0"/>
    <x v="0"/>
    <x v="0"/>
    <x v="0"/>
    <x v="0"/>
  </r>
  <r>
    <s v="S001"/>
    <s v="P0018"/>
    <x v="4"/>
    <x v="0"/>
    <n v="731"/>
    <n v="101475"/>
    <n v="79026"/>
    <n v="138.82"/>
    <n v="109.1"/>
    <n v="0.78590000000000004"/>
    <n v="144.44"/>
    <n v="109.57"/>
    <n v="282.55"/>
    <n v="5.1100000000000003"/>
    <n v="2.33"/>
    <n v="11.63"/>
    <n v="0"/>
    <n v="100"/>
    <n v="6.3200000000000006E-2"/>
    <n v="4.0500000000000001E-2"/>
    <n v="129.44"/>
    <n v="13149.08"/>
    <n v="731"/>
    <n v="108.11"/>
    <n v="52.15"/>
    <n v="1"/>
    <n v="0"/>
    <x v="0"/>
    <x v="0"/>
    <x v="0"/>
    <x v="0"/>
  </r>
  <r>
    <s v="S003"/>
    <s v="P0007"/>
    <x v="4"/>
    <x v="1"/>
    <n v="731"/>
    <n v="101464"/>
    <n v="79438"/>
    <n v="138.80000000000001"/>
    <n v="110.79"/>
    <n v="0.79820000000000002"/>
    <n v="143.78"/>
    <n v="111.18"/>
    <n v="279.98"/>
    <n v="6.77"/>
    <n v="3.97"/>
    <n v="11.22"/>
    <n v="0"/>
    <n v="100"/>
    <n v="5.9900000000000002E-2"/>
    <n v="3.5900000000000001E-2"/>
    <n v="126.17"/>
    <n v="12935.33"/>
    <n v="731"/>
    <n v="108.67"/>
    <n v="52.05"/>
    <n v="1"/>
    <n v="0"/>
    <x v="0"/>
    <x v="0"/>
    <x v="0"/>
    <x v="0"/>
  </r>
  <r>
    <s v="S003"/>
    <s v="P0011"/>
    <x v="4"/>
    <x v="1"/>
    <n v="731"/>
    <n v="101392"/>
    <n v="79167"/>
    <n v="138.69999999999999"/>
    <n v="108.62"/>
    <n v="0.78310000000000002"/>
    <n v="143.93"/>
    <n v="108.84"/>
    <n v="274.63"/>
    <n v="9.18"/>
    <n v="2.74"/>
    <n v="10.81"/>
    <n v="0"/>
    <n v="100"/>
    <n v="6.1199999999999997E-2"/>
    <n v="3.7699999999999997E-2"/>
    <n v="160.77000000000001"/>
    <n v="11221.12"/>
    <n v="731"/>
    <n v="108.3"/>
    <n v="51.08"/>
    <n v="1"/>
    <n v="0"/>
    <x v="1"/>
    <x v="0"/>
    <x v="0"/>
    <x v="0"/>
  </r>
  <r>
    <s v="S005"/>
    <s v="P0020"/>
    <x v="2"/>
    <x v="0"/>
    <n v="731"/>
    <n v="101370"/>
    <n v="81152"/>
    <n v="138.66999999999999"/>
    <n v="111.14"/>
    <n v="0.80149999999999999"/>
    <n v="143.31"/>
    <n v="111"/>
    <n v="283.89999999999998"/>
    <n v="5.63"/>
    <n v="2.6"/>
    <n v="11.35"/>
    <n v="0"/>
    <n v="100"/>
    <n v="5.8999999999999997E-2"/>
    <n v="3.3399999999999999E-2"/>
    <n v="165.44"/>
    <n v="12368.72"/>
    <n v="731"/>
    <n v="111.02"/>
    <n v="53.05"/>
    <n v="1"/>
    <n v="0"/>
    <x v="0"/>
    <x v="0"/>
    <x v="0"/>
    <x v="0"/>
  </r>
  <r>
    <s v="S004"/>
    <s v="P0001"/>
    <x v="1"/>
    <x v="2"/>
    <n v="731"/>
    <n v="101270"/>
    <n v="83870"/>
    <n v="138.54"/>
    <n v="110.97"/>
    <n v="0.80100000000000005"/>
    <n v="143.83000000000001"/>
    <n v="110.95"/>
    <n v="270.79000000000002"/>
    <n v="4.8899999999999997"/>
    <n v="4.0999999999999996"/>
    <n v="10.67"/>
    <n v="0"/>
    <n v="100"/>
    <n v="6.0299999999999999E-2"/>
    <n v="3.8199999999999998E-2"/>
    <n v="200.64"/>
    <n v="10646.02"/>
    <n v="731"/>
    <n v="114.73"/>
    <n v="52.58"/>
    <n v="1"/>
    <n v="0"/>
    <x v="0"/>
    <x v="0"/>
    <x v="0"/>
    <x v="0"/>
  </r>
  <r>
    <s v="S005"/>
    <s v="P0007"/>
    <x v="4"/>
    <x v="0"/>
    <n v="731"/>
    <n v="101198"/>
    <n v="79882"/>
    <n v="138.44"/>
    <n v="111.88"/>
    <n v="0.80810000000000004"/>
    <n v="143.93"/>
    <n v="111.6"/>
    <n v="278.19"/>
    <n v="6.53"/>
    <n v="3.56"/>
    <n v="11.35"/>
    <n v="0"/>
    <n v="100"/>
    <n v="6.2100000000000002E-2"/>
    <n v="3.9699999999999999E-2"/>
    <n v="208.19"/>
    <n v="12402.14"/>
    <n v="731"/>
    <n v="109.28"/>
    <n v="54.11"/>
    <n v="1"/>
    <n v="0"/>
    <x v="0"/>
    <x v="0"/>
    <x v="0"/>
    <x v="0"/>
  </r>
  <r>
    <s v="S002"/>
    <s v="P0004"/>
    <x v="4"/>
    <x v="0"/>
    <n v="731"/>
    <n v="101190"/>
    <n v="77866"/>
    <n v="138.43"/>
    <n v="108.65"/>
    <n v="0.78490000000000004"/>
    <n v="143.68"/>
    <n v="108.59"/>
    <n v="272.06"/>
    <n v="4.38"/>
    <n v="4.79"/>
    <n v="10.67"/>
    <n v="0"/>
    <n v="100"/>
    <n v="6.1600000000000002E-2"/>
    <n v="3.7999999999999999E-2"/>
    <n v="201.75"/>
    <n v="9582.2999999999993"/>
    <n v="731"/>
    <n v="106.52"/>
    <n v="51.76"/>
    <n v="1"/>
    <n v="0"/>
    <x v="0"/>
    <x v="0"/>
    <x v="0"/>
    <x v="0"/>
  </r>
  <r>
    <s v="S001"/>
    <s v="P0020"/>
    <x v="2"/>
    <x v="0"/>
    <n v="731"/>
    <n v="101144"/>
    <n v="82977"/>
    <n v="138.36000000000001"/>
    <n v="111.25"/>
    <n v="0.80400000000000005"/>
    <n v="143.56"/>
    <n v="111.26"/>
    <n v="276.02"/>
    <n v="3.78"/>
    <n v="3.15"/>
    <n v="10.4"/>
    <n v="0"/>
    <n v="100"/>
    <n v="6.0100000000000001E-2"/>
    <n v="3.7600000000000001E-2"/>
    <n v="143.56"/>
    <n v="10702.74"/>
    <n v="731"/>
    <n v="113.51"/>
    <n v="53.3"/>
    <n v="1"/>
    <n v="0"/>
    <x v="0"/>
    <x v="0"/>
    <x v="0"/>
    <x v="0"/>
  </r>
  <r>
    <s v="S003"/>
    <s v="P0015"/>
    <x v="0"/>
    <x v="1"/>
    <n v="731"/>
    <n v="101119"/>
    <n v="80958"/>
    <n v="138.33000000000001"/>
    <n v="108.01"/>
    <n v="0.78080000000000005"/>
    <n v="143.02000000000001"/>
    <n v="108.58"/>
    <n v="279.27"/>
    <n v="5.26"/>
    <n v="2.87"/>
    <n v="10.94"/>
    <n v="0"/>
    <n v="100"/>
    <n v="5.6800000000000003E-2"/>
    <n v="3.39E-2"/>
    <n v="180.14"/>
    <n v="12923.15"/>
    <n v="731"/>
    <n v="110.75"/>
    <n v="52.18"/>
    <n v="1"/>
    <n v="0"/>
    <x v="0"/>
    <x v="0"/>
    <x v="0"/>
    <x v="0"/>
  </r>
  <r>
    <s v="S002"/>
    <s v="P0016"/>
    <x v="1"/>
    <x v="0"/>
    <n v="731"/>
    <n v="101059"/>
    <n v="79978"/>
    <n v="138.25"/>
    <n v="108.41"/>
    <n v="0.78420000000000001"/>
    <n v="143.26"/>
    <n v="108.6"/>
    <n v="285.47000000000003"/>
    <n v="4.3099999999999996"/>
    <n v="2.74"/>
    <n v="11.76"/>
    <n v="0"/>
    <n v="100"/>
    <n v="6.1100000000000002E-2"/>
    <n v="3.6299999999999999E-2"/>
    <n v="144.16"/>
    <n v="11892.13"/>
    <n v="731"/>
    <n v="109.41"/>
    <n v="52.2"/>
    <n v="1"/>
    <n v="0"/>
    <x v="0"/>
    <x v="0"/>
    <x v="0"/>
    <x v="0"/>
  </r>
  <r>
    <s v="S001"/>
    <s v="P0015"/>
    <x v="0"/>
    <x v="0"/>
    <n v="731"/>
    <n v="100795"/>
    <n v="78138"/>
    <n v="137.88999999999999"/>
    <n v="112.8"/>
    <n v="0.81810000000000005"/>
    <n v="142.78"/>
    <n v="113.36"/>
    <n v="277.48"/>
    <n v="4.93"/>
    <n v="2.0499999999999998"/>
    <n v="13.13"/>
    <n v="0"/>
    <n v="100"/>
    <n v="5.8599999999999999E-2"/>
    <n v="3.5499999999999997E-2"/>
    <n v="109.19"/>
    <n v="14827.84"/>
    <n v="731"/>
    <n v="106.89"/>
    <n v="52.43"/>
    <n v="1"/>
    <n v="0"/>
    <x v="0"/>
    <x v="0"/>
    <x v="0"/>
    <x v="0"/>
  </r>
  <r>
    <s v="S001"/>
    <s v="P0007"/>
    <x v="4"/>
    <x v="0"/>
    <n v="731"/>
    <n v="100749"/>
    <n v="79521"/>
    <n v="137.82"/>
    <n v="111.2"/>
    <n v="0.80679999999999996"/>
    <n v="142.47"/>
    <n v="111.07"/>
    <n v="278.41000000000003"/>
    <n v="5.85"/>
    <n v="2.87"/>
    <n v="11.22"/>
    <n v="0"/>
    <n v="100"/>
    <n v="5.7500000000000002E-2"/>
    <n v="3.3700000000000001E-2"/>
    <n v="172.01"/>
    <n v="12975.79"/>
    <n v="731"/>
    <n v="108.78"/>
    <n v="51.21"/>
    <n v="1"/>
    <n v="0"/>
    <x v="0"/>
    <x v="0"/>
    <x v="0"/>
    <x v="0"/>
  </r>
  <r>
    <s v="S004"/>
    <s v="P0010"/>
    <x v="2"/>
    <x v="2"/>
    <n v="731"/>
    <n v="100728"/>
    <n v="80467"/>
    <n v="137.79"/>
    <n v="111.13"/>
    <n v="0.80649999999999999"/>
    <n v="142.69999999999999"/>
    <n v="112.1"/>
    <n v="280.39"/>
    <n v="6.21"/>
    <n v="4.92"/>
    <n v="10.94"/>
    <n v="0"/>
    <n v="100"/>
    <n v="6.0400000000000002E-2"/>
    <n v="3.56E-2"/>
    <n v="223.5"/>
    <n v="14658.42"/>
    <n v="731"/>
    <n v="110.08"/>
    <n v="52.25"/>
    <n v="1"/>
    <n v="0"/>
    <x v="0"/>
    <x v="0"/>
    <x v="0"/>
    <x v="0"/>
  </r>
  <r>
    <s v="S004"/>
    <s v="P0015"/>
    <x v="0"/>
    <x v="2"/>
    <n v="731"/>
    <n v="100664"/>
    <n v="80930"/>
    <n v="137.71"/>
    <n v="108.2"/>
    <n v="0.78569999999999995"/>
    <n v="143"/>
    <n v="108.94"/>
    <n v="277.69"/>
    <n v="5.13"/>
    <n v="3.69"/>
    <n v="10.81"/>
    <n v="0"/>
    <n v="100"/>
    <n v="6.0499999999999998E-2"/>
    <n v="3.8399999999999997E-2"/>
    <n v="167.01"/>
    <n v="12586.09"/>
    <n v="731"/>
    <n v="110.71"/>
    <n v="52.24"/>
    <n v="1"/>
    <n v="0"/>
    <x v="0"/>
    <x v="0"/>
    <x v="0"/>
    <x v="0"/>
  </r>
  <r>
    <s v="S002"/>
    <s v="P0007"/>
    <x v="4"/>
    <x v="0"/>
    <n v="731"/>
    <n v="100601"/>
    <n v="77677"/>
    <n v="137.62"/>
    <n v="112.77"/>
    <n v="0.81940000000000002"/>
    <n v="142.86000000000001"/>
    <n v="113.49"/>
    <n v="274.86"/>
    <n v="4.8"/>
    <n v="3.28"/>
    <n v="11.08"/>
    <n v="0"/>
    <n v="100"/>
    <n v="6.0199999999999997E-2"/>
    <n v="3.7999999999999999E-2"/>
    <n v="132.16999999999999"/>
    <n v="12343.94"/>
    <n v="731"/>
    <n v="106.26"/>
    <n v="52.82"/>
    <n v="1"/>
    <n v="0"/>
    <x v="0"/>
    <x v="0"/>
    <x v="0"/>
    <x v="0"/>
  </r>
  <r>
    <s v="S003"/>
    <s v="P0020"/>
    <x v="2"/>
    <x v="1"/>
    <n v="731"/>
    <n v="100552"/>
    <n v="81334"/>
    <n v="137.55000000000001"/>
    <n v="108.51"/>
    <n v="0.78879999999999995"/>
    <n v="142.5"/>
    <n v="108.78"/>
    <n v="272.64999999999998"/>
    <n v="4.8099999999999996"/>
    <n v="3.28"/>
    <n v="10.81"/>
    <n v="0"/>
    <n v="100"/>
    <n v="0.06"/>
    <n v="3.5999999999999997E-2"/>
    <n v="155.44999999999999"/>
    <n v="10935.02"/>
    <n v="731"/>
    <n v="111.26"/>
    <n v="51.85"/>
    <n v="1"/>
    <n v="0"/>
    <x v="0"/>
    <x v="0"/>
    <x v="0"/>
    <x v="0"/>
  </r>
  <r>
    <s v="S005"/>
    <s v="P0010"/>
    <x v="2"/>
    <x v="0"/>
    <n v="731"/>
    <n v="100551"/>
    <n v="82331"/>
    <n v="137.55000000000001"/>
    <n v="109.46"/>
    <n v="0.79579999999999995"/>
    <n v="142.82"/>
    <n v="110.15"/>
    <n v="281.5"/>
    <n v="4.53"/>
    <n v="3.69"/>
    <n v="12.31"/>
    <n v="0"/>
    <n v="100"/>
    <n v="6.1400000000000003E-2"/>
    <n v="3.8300000000000001E-2"/>
    <n v="210.32"/>
    <n v="13085.21"/>
    <n v="731"/>
    <n v="112.63"/>
    <n v="50.53"/>
    <n v="1"/>
    <n v="0"/>
    <x v="0"/>
    <x v="0"/>
    <x v="0"/>
    <x v="0"/>
  </r>
  <r>
    <s v="S003"/>
    <s v="P0012"/>
    <x v="3"/>
    <x v="1"/>
    <n v="731"/>
    <n v="100529"/>
    <n v="79853"/>
    <n v="137.52000000000001"/>
    <n v="111.91"/>
    <n v="0.81369999999999998"/>
    <n v="142.03"/>
    <n v="112.43"/>
    <n v="276.77"/>
    <n v="5.13"/>
    <n v="2.0499999999999998"/>
    <n v="11.63"/>
    <n v="0"/>
    <n v="100"/>
    <n v="5.8900000000000001E-2"/>
    <n v="3.27E-2"/>
    <n v="75.3"/>
    <n v="14009.07"/>
    <n v="731"/>
    <n v="109.24"/>
    <n v="51.03"/>
    <n v="1"/>
    <n v="0"/>
    <x v="0"/>
    <x v="0"/>
    <x v="0"/>
    <x v="0"/>
  </r>
  <r>
    <s v="S005"/>
    <s v="P0014"/>
    <x v="2"/>
    <x v="0"/>
    <n v="731"/>
    <n v="100409"/>
    <n v="78477"/>
    <n v="137.36000000000001"/>
    <n v="111.17"/>
    <n v="0.80930000000000002"/>
    <n v="142.4"/>
    <n v="111.68"/>
    <n v="273.18"/>
    <n v="4.45"/>
    <n v="3.01"/>
    <n v="12.18"/>
    <n v="0"/>
    <n v="100"/>
    <n v="5.9700000000000003E-2"/>
    <n v="3.6700000000000003E-2"/>
    <n v="129.43"/>
    <n v="12344.67"/>
    <n v="731"/>
    <n v="107.36"/>
    <n v="51.95"/>
    <n v="1"/>
    <n v="0"/>
    <x v="0"/>
    <x v="0"/>
    <x v="0"/>
    <x v="0"/>
  </r>
  <r>
    <s v="S001"/>
    <s v="P0001"/>
    <x v="1"/>
    <x v="0"/>
    <n v="731"/>
    <n v="100371"/>
    <n v="80505"/>
    <n v="137.31"/>
    <n v="108.19"/>
    <n v="0.78790000000000004"/>
    <n v="143.11000000000001"/>
    <n v="108.27"/>
    <n v="272.82"/>
    <n v="28.61"/>
    <n v="4.0999999999999996"/>
    <n v="10.67"/>
    <n v="0"/>
    <n v="100"/>
    <n v="6.2399999999999997E-2"/>
    <n v="4.2299999999999997E-2"/>
    <n v="189.7"/>
    <n v="10490.08"/>
    <n v="731"/>
    <n v="110.13"/>
    <n v="51.93"/>
    <n v="1"/>
    <n v="0"/>
    <x v="1"/>
    <x v="0"/>
    <x v="0"/>
    <x v="0"/>
  </r>
  <r>
    <s v="S005"/>
    <s v="P0017"/>
    <x v="3"/>
    <x v="0"/>
    <n v="731"/>
    <n v="100358"/>
    <n v="81106"/>
    <n v="137.29"/>
    <n v="108.62"/>
    <n v="0.79120000000000001"/>
    <n v="142.36000000000001"/>
    <n v="109.1"/>
    <n v="282.60000000000002"/>
    <n v="8.34"/>
    <n v="3.15"/>
    <n v="13.41"/>
    <n v="0"/>
    <n v="100"/>
    <n v="5.8500000000000003E-2"/>
    <n v="3.6900000000000002E-2"/>
    <n v="152.78"/>
    <n v="13528.13"/>
    <n v="731"/>
    <n v="110.95"/>
    <n v="52.28"/>
    <n v="1"/>
    <n v="0"/>
    <x v="1"/>
    <x v="0"/>
    <x v="0"/>
    <x v="0"/>
  </r>
  <r>
    <s v="S004"/>
    <s v="P0005"/>
    <x v="1"/>
    <x v="2"/>
    <n v="731"/>
    <n v="100309"/>
    <n v="80003"/>
    <n v="137.22"/>
    <n v="107.08"/>
    <n v="0.78039999999999998"/>
    <n v="142.31"/>
    <n v="107.51"/>
    <n v="270.45"/>
    <n v="4.6900000000000004"/>
    <n v="3.56"/>
    <n v="10.81"/>
    <n v="0"/>
    <n v="100"/>
    <n v="5.9200000000000003E-2"/>
    <n v="3.7100000000000001E-2"/>
    <n v="199.03"/>
    <n v="11518.58"/>
    <n v="731"/>
    <n v="109.44"/>
    <n v="51.61"/>
    <n v="1"/>
    <n v="0"/>
    <x v="0"/>
    <x v="0"/>
    <x v="0"/>
    <x v="0"/>
  </r>
  <r>
    <s v="S001"/>
    <s v="P0008"/>
    <x v="4"/>
    <x v="0"/>
    <n v="731"/>
    <n v="100244"/>
    <n v="80051"/>
    <n v="137.13"/>
    <n v="108.7"/>
    <n v="0.79269999999999996"/>
    <n v="141.75"/>
    <n v="109.01"/>
    <n v="269.92"/>
    <n v="14.16"/>
    <n v="3.15"/>
    <n v="11.22"/>
    <n v="0"/>
    <n v="100"/>
    <n v="6.0199999999999997E-2"/>
    <n v="3.3700000000000001E-2"/>
    <n v="167.72"/>
    <n v="13199.66"/>
    <n v="731"/>
    <n v="109.51"/>
    <n v="51.8"/>
    <n v="1"/>
    <n v="0"/>
    <x v="1"/>
    <x v="0"/>
    <x v="0"/>
    <x v="0"/>
  </r>
  <r>
    <s v="S001"/>
    <s v="P0014"/>
    <x v="2"/>
    <x v="0"/>
    <n v="731"/>
    <n v="99870"/>
    <n v="81397"/>
    <n v="136.62"/>
    <n v="110.67"/>
    <n v="0.81"/>
    <n v="141.33000000000001"/>
    <n v="111.05"/>
    <n v="270.89999999999998"/>
    <n v="7.95"/>
    <n v="3.01"/>
    <n v="12.45"/>
    <n v="0"/>
    <n v="100"/>
    <n v="6.0100000000000001E-2"/>
    <n v="3.4500000000000003E-2"/>
    <n v="122.91"/>
    <n v="11664.42"/>
    <n v="731"/>
    <n v="111.35"/>
    <n v="51.9"/>
    <n v="1"/>
    <n v="0"/>
    <x v="1"/>
    <x v="0"/>
    <x v="0"/>
    <x v="0"/>
  </r>
  <r>
    <s v="S005"/>
    <s v="P0011"/>
    <x v="4"/>
    <x v="0"/>
    <n v="731"/>
    <n v="99824"/>
    <n v="81584"/>
    <n v="136.56"/>
    <n v="107.51"/>
    <n v="0.7873"/>
    <n v="141.38999999999999"/>
    <n v="108.2"/>
    <n v="279.14"/>
    <n v="20.12"/>
    <n v="3.15"/>
    <n v="12.31"/>
    <n v="0"/>
    <n v="100"/>
    <n v="6.0699999999999997E-2"/>
    <n v="3.5400000000000001E-2"/>
    <n v="199.55"/>
    <n v="14282.47"/>
    <n v="731"/>
    <n v="111.61"/>
    <n v="49.96"/>
    <n v="1"/>
    <n v="0"/>
    <x v="1"/>
    <x v="0"/>
    <x v="0"/>
    <x v="0"/>
  </r>
  <r>
    <s v="S004"/>
    <s v="P0019"/>
    <x v="3"/>
    <x v="2"/>
    <n v="731"/>
    <n v="99798"/>
    <n v="79004"/>
    <n v="136.52000000000001"/>
    <n v="110.57"/>
    <n v="0.80989999999999995"/>
    <n v="141.51"/>
    <n v="110.88"/>
    <n v="272.49"/>
    <n v="5.01"/>
    <n v="3.42"/>
    <n v="11.22"/>
    <n v="0"/>
    <n v="100"/>
    <n v="6.0999999999999999E-2"/>
    <n v="3.6499999999999998E-2"/>
    <n v="144.76"/>
    <n v="14428.85"/>
    <n v="731"/>
    <n v="108.08"/>
    <n v="52.65"/>
    <n v="1"/>
    <n v="0"/>
    <x v="0"/>
    <x v="0"/>
    <x v="0"/>
    <x v="0"/>
  </r>
  <r>
    <s v="S001"/>
    <s v="P0017"/>
    <x v="3"/>
    <x v="0"/>
    <n v="731"/>
    <n v="99744"/>
    <n v="81577"/>
    <n v="136.44999999999999"/>
    <n v="108.97"/>
    <n v="0.79859999999999998"/>
    <n v="141.44"/>
    <n v="109.35"/>
    <n v="285.64999999999998"/>
    <n v="5.44"/>
    <n v="2.33"/>
    <n v="11.9"/>
    <n v="0"/>
    <n v="100"/>
    <n v="6.13E-2"/>
    <n v="3.6600000000000001E-2"/>
    <n v="145.61000000000001"/>
    <n v="14734.98"/>
    <n v="731"/>
    <n v="111.6"/>
    <n v="51.26"/>
    <n v="1"/>
    <n v="0"/>
    <x v="0"/>
    <x v="0"/>
    <x v="0"/>
    <x v="0"/>
  </r>
  <r>
    <s v="S005"/>
    <s v="P0009"/>
    <x v="0"/>
    <x v="0"/>
    <n v="731"/>
    <n v="99558"/>
    <n v="80512"/>
    <n v="136.19"/>
    <n v="107.78"/>
    <n v="0.79139999999999999"/>
    <n v="141.41"/>
    <n v="108.36"/>
    <n v="272.26"/>
    <n v="5.0999999999999996"/>
    <n v="3.97"/>
    <n v="11.08"/>
    <n v="0"/>
    <n v="100"/>
    <n v="6.1199999999999997E-2"/>
    <n v="3.8300000000000001E-2"/>
    <n v="162.54"/>
    <n v="10834.38"/>
    <n v="731"/>
    <n v="110.14"/>
    <n v="52.95"/>
    <n v="1"/>
    <n v="0"/>
    <x v="0"/>
    <x v="0"/>
    <x v="0"/>
    <x v="0"/>
  </r>
  <r>
    <s v="S003"/>
    <s v="P0010"/>
    <x v="2"/>
    <x v="1"/>
    <n v="731"/>
    <n v="99422"/>
    <n v="81076"/>
    <n v="136.01"/>
    <n v="109.32"/>
    <n v="0.80379999999999996"/>
    <n v="140.91999999999999"/>
    <n v="109.4"/>
    <n v="265.29000000000002"/>
    <n v="6"/>
    <n v="4.0999999999999996"/>
    <n v="11.49"/>
    <n v="0"/>
    <n v="100"/>
    <n v="6.0600000000000001E-2"/>
    <n v="3.61E-2"/>
    <n v="174.21"/>
    <n v="13557"/>
    <n v="731"/>
    <n v="110.91"/>
    <n v="52.51"/>
    <n v="1"/>
    <n v="0"/>
    <x v="0"/>
    <x v="0"/>
    <x v="0"/>
    <x v="0"/>
  </r>
  <r>
    <s v="S004"/>
    <s v="P0020"/>
    <x v="2"/>
    <x v="2"/>
    <n v="731"/>
    <n v="99299"/>
    <n v="81255"/>
    <n v="135.84"/>
    <n v="106.72"/>
    <n v="0.78559999999999997"/>
    <n v="140.25"/>
    <n v="107.09"/>
    <n v="275.11"/>
    <n v="7.42"/>
    <n v="4.0999999999999996"/>
    <n v="10.67"/>
    <n v="0"/>
    <n v="100"/>
    <n v="5.9400000000000001E-2"/>
    <n v="3.2500000000000001E-2"/>
    <n v="209.83"/>
    <n v="12480.68"/>
    <n v="731"/>
    <n v="111.16"/>
    <n v="53.61"/>
    <n v="1"/>
    <n v="0"/>
    <x v="1"/>
    <x v="0"/>
    <x v="0"/>
    <x v="0"/>
  </r>
  <r>
    <s v="S002"/>
    <s v="P0011"/>
    <x v="4"/>
    <x v="0"/>
    <n v="731"/>
    <n v="99145"/>
    <n v="79341"/>
    <n v="135.63"/>
    <n v="108.69"/>
    <n v="0.8014"/>
    <n v="140.85"/>
    <n v="109.12"/>
    <n v="269.35000000000002"/>
    <n v="4.3"/>
    <n v="3.56"/>
    <n v="8.2100000000000009"/>
    <n v="0"/>
    <n v="100"/>
    <n v="6.1800000000000001E-2"/>
    <n v="3.85E-2"/>
    <n v="115.21"/>
    <n v="9253.41"/>
    <n v="731"/>
    <n v="108.54"/>
    <n v="51.93"/>
    <n v="1"/>
    <n v="0"/>
    <x v="0"/>
    <x v="0"/>
    <x v="0"/>
    <x v="0"/>
  </r>
  <r>
    <s v="S004"/>
    <s v="P0017"/>
    <x v="3"/>
    <x v="2"/>
    <n v="731"/>
    <n v="99123"/>
    <n v="79952"/>
    <n v="135.6"/>
    <n v="107.63"/>
    <n v="0.79369999999999996"/>
    <n v="140.47999999999999"/>
    <n v="107.84"/>
    <n v="271.99"/>
    <n v="8.26"/>
    <n v="3.56"/>
    <n v="11.9"/>
    <n v="0"/>
    <n v="100"/>
    <n v="6.0400000000000002E-2"/>
    <n v="3.5999999999999997E-2"/>
    <n v="177.93"/>
    <n v="10933.97"/>
    <n v="731"/>
    <n v="109.37"/>
    <n v="52.68"/>
    <n v="1"/>
    <n v="0"/>
    <x v="1"/>
    <x v="0"/>
    <x v="0"/>
    <x v="0"/>
  </r>
  <r>
    <s v="S002"/>
    <s v="P0010"/>
    <x v="2"/>
    <x v="0"/>
    <n v="731"/>
    <n v="99012"/>
    <n v="79891"/>
    <n v="135.44999999999999"/>
    <n v="112.87"/>
    <n v="0.83330000000000004"/>
    <n v="140.33000000000001"/>
    <n v="113.4"/>
    <n v="272.55"/>
    <n v="4.24"/>
    <n v="3.42"/>
    <n v="11.08"/>
    <n v="0"/>
    <n v="100"/>
    <n v="6.1600000000000002E-2"/>
    <n v="3.5999999999999997E-2"/>
    <n v="124.32"/>
    <n v="13714.24"/>
    <n v="731"/>
    <n v="109.29"/>
    <n v="52.56"/>
    <n v="1"/>
    <n v="0"/>
    <x v="0"/>
    <x v="0"/>
    <x v="0"/>
    <x v="0"/>
  </r>
  <r>
    <s v="S005"/>
    <s v="P0006"/>
    <x v="1"/>
    <x v="0"/>
    <n v="731"/>
    <n v="98871"/>
    <n v="80435"/>
    <n v="135.25"/>
    <n v="107.18"/>
    <n v="0.79239999999999999"/>
    <n v="140.88999999999999"/>
    <n v="107.19"/>
    <n v="273.36"/>
    <n v="34.56"/>
    <n v="2.74"/>
    <n v="12.04"/>
    <n v="0"/>
    <n v="100"/>
    <n v="6.3E-2"/>
    <n v="4.1700000000000001E-2"/>
    <n v="116.42"/>
    <n v="11691.84"/>
    <n v="731"/>
    <n v="110.03"/>
    <n v="50.51"/>
    <n v="1"/>
    <n v="0"/>
    <x v="1"/>
    <x v="0"/>
    <x v="0"/>
    <x v="0"/>
  </r>
  <r>
    <s v="S005"/>
    <s v="P0004"/>
    <x v="4"/>
    <x v="0"/>
    <n v="731"/>
    <n v="98836"/>
    <n v="79109"/>
    <n v="135.21"/>
    <n v="111.78"/>
    <n v="0.82669999999999999"/>
    <n v="140.11000000000001"/>
    <n v="112.53"/>
    <n v="269.7"/>
    <n v="6.26"/>
    <n v="3.42"/>
    <n v="11.49"/>
    <n v="0"/>
    <n v="100"/>
    <n v="6.13E-2"/>
    <n v="3.6299999999999999E-2"/>
    <n v="101.69"/>
    <n v="13134.18"/>
    <n v="731"/>
    <n v="108.22"/>
    <n v="52.42"/>
    <n v="1"/>
    <n v="0"/>
    <x v="0"/>
    <x v="0"/>
    <x v="0"/>
    <x v="0"/>
  </r>
  <r>
    <s v="S005"/>
    <s v="P0019"/>
    <x v="3"/>
    <x v="0"/>
    <n v="731"/>
    <n v="98724"/>
    <n v="81130"/>
    <n v="135.05000000000001"/>
    <n v="108.66"/>
    <n v="0.80459999999999998"/>
    <n v="139.80000000000001"/>
    <n v="109.15"/>
    <n v="277.93"/>
    <n v="5.66"/>
    <n v="4.6500000000000004"/>
    <n v="12.04"/>
    <n v="0"/>
    <n v="100"/>
    <n v="6.1100000000000002E-2"/>
    <n v="3.5200000000000002E-2"/>
    <n v="268.06"/>
    <n v="15829.56"/>
    <n v="731"/>
    <n v="110.98"/>
    <n v="52.4"/>
    <n v="1"/>
    <n v="0"/>
    <x v="0"/>
    <x v="0"/>
    <x v="0"/>
    <x v="0"/>
  </r>
  <r>
    <s v="S001"/>
    <s v="P0019"/>
    <x v="3"/>
    <x v="0"/>
    <n v="731"/>
    <n v="98488"/>
    <n v="81529"/>
    <n v="134.72999999999999"/>
    <n v="109.55"/>
    <n v="0.81310000000000004"/>
    <n v="139.75"/>
    <n v="110.03"/>
    <n v="277.14"/>
    <n v="4.83"/>
    <n v="3.69"/>
    <n v="13.13"/>
    <n v="0"/>
    <n v="100"/>
    <n v="6.2E-2"/>
    <n v="3.73E-2"/>
    <n v="210.39"/>
    <n v="12816.17"/>
    <n v="731"/>
    <n v="111.53"/>
    <n v="52.01"/>
    <n v="1"/>
    <n v="0"/>
    <x v="0"/>
    <x v="0"/>
    <x v="0"/>
    <x v="0"/>
  </r>
  <r>
    <s v="S005"/>
    <s v="P0012"/>
    <x v="3"/>
    <x v="0"/>
    <n v="731"/>
    <n v="98432"/>
    <n v="82216"/>
    <n v="134.65"/>
    <n v="108.38"/>
    <n v="0.80489999999999995"/>
    <n v="140.31"/>
    <n v="108.47"/>
    <n v="278.64"/>
    <n v="17.079999999999998"/>
    <n v="3.83"/>
    <n v="11.35"/>
    <n v="0"/>
    <n v="100"/>
    <n v="6.3500000000000001E-2"/>
    <n v="4.2000000000000003E-2"/>
    <n v="166.38"/>
    <n v="13320.66"/>
    <n v="731"/>
    <n v="112.47"/>
    <n v="51.5"/>
    <n v="1"/>
    <n v="0"/>
    <x v="1"/>
    <x v="0"/>
    <x v="0"/>
    <x v="0"/>
  </r>
  <r>
    <s v="S004"/>
    <s v="P0009"/>
    <x v="0"/>
    <x v="2"/>
    <n v="731"/>
    <n v="98390"/>
    <n v="78654"/>
    <n v="134.6"/>
    <n v="112.51"/>
    <n v="0.83589999999999998"/>
    <n v="139.69"/>
    <n v="112.74"/>
    <n v="270.73"/>
    <n v="5.64"/>
    <n v="4.0999999999999996"/>
    <n v="11.22"/>
    <n v="0"/>
    <n v="100"/>
    <n v="6.1600000000000002E-2"/>
    <n v="3.78E-2"/>
    <n v="238.57"/>
    <n v="11514.58"/>
    <n v="731"/>
    <n v="107.6"/>
    <n v="53.06"/>
    <n v="1"/>
    <n v="0"/>
    <x v="0"/>
    <x v="0"/>
    <x v="0"/>
    <x v="0"/>
  </r>
  <r>
    <s v="S004"/>
    <s v="P0008"/>
    <x v="4"/>
    <x v="2"/>
    <n v="731"/>
    <n v="98371"/>
    <n v="80735"/>
    <n v="134.57"/>
    <n v="106.94"/>
    <n v="0.79469999999999996"/>
    <n v="139.08000000000001"/>
    <n v="107.32"/>
    <n v="273.29000000000002"/>
    <n v="4.6100000000000003"/>
    <n v="4.6500000000000004"/>
    <n v="11.35"/>
    <n v="0"/>
    <n v="100"/>
    <n v="5.9299999999999999E-2"/>
    <n v="3.3500000000000002E-2"/>
    <n v="250.31"/>
    <n v="11913.92"/>
    <n v="731"/>
    <n v="110.44"/>
    <n v="52.95"/>
    <n v="1"/>
    <n v="0"/>
    <x v="0"/>
    <x v="0"/>
    <x v="0"/>
    <x v="0"/>
  </r>
  <r>
    <s v="S002"/>
    <s v="P0014"/>
    <x v="2"/>
    <x v="0"/>
    <n v="731"/>
    <n v="98251"/>
    <n v="79959"/>
    <n v="134.41"/>
    <n v="105.01"/>
    <n v="0.78129999999999999"/>
    <n v="139.65"/>
    <n v="105.1"/>
    <n v="272.16000000000003"/>
    <n v="3.55"/>
    <n v="3.56"/>
    <n v="9.3000000000000007"/>
    <n v="0"/>
    <n v="100"/>
    <n v="6.1800000000000001E-2"/>
    <n v="3.9E-2"/>
    <n v="169.7"/>
    <n v="10029.35"/>
    <n v="731"/>
    <n v="109.38"/>
    <n v="53.47"/>
    <n v="1"/>
    <n v="0"/>
    <x v="0"/>
    <x v="0"/>
    <x v="0"/>
    <x v="0"/>
  </r>
  <r>
    <s v="S005"/>
    <s v="P0002"/>
    <x v="0"/>
    <x v="0"/>
    <n v="731"/>
    <n v="98187"/>
    <n v="78287"/>
    <n v="134.32"/>
    <n v="105.81"/>
    <n v="0.78769999999999996"/>
    <n v="138.96"/>
    <n v="106.16"/>
    <n v="264.98"/>
    <n v="7.44"/>
    <n v="4.0999999999999996"/>
    <n v="9.85"/>
    <n v="0"/>
    <n v="100"/>
    <n v="5.9499999999999997E-2"/>
    <n v="3.4500000000000003E-2"/>
    <n v="209.04"/>
    <n v="9546.77"/>
    <n v="731"/>
    <n v="107.1"/>
    <n v="52.84"/>
    <n v="1"/>
    <n v="0"/>
    <x v="1"/>
    <x v="0"/>
    <x v="0"/>
    <x v="0"/>
  </r>
  <r>
    <s v="S002"/>
    <s v="P0013"/>
    <x v="1"/>
    <x v="0"/>
    <n v="731"/>
    <n v="98116"/>
    <n v="80266"/>
    <n v="134.22"/>
    <n v="106.21"/>
    <n v="0.7913"/>
    <n v="139.86000000000001"/>
    <n v="106.01"/>
    <n v="277.55"/>
    <n v="4.2"/>
    <n v="4.24"/>
    <n v="10.26"/>
    <n v="0"/>
    <n v="100"/>
    <n v="6.3399999999999998E-2"/>
    <n v="4.2000000000000003E-2"/>
    <n v="182.94"/>
    <n v="11711.42"/>
    <n v="731"/>
    <n v="109.8"/>
    <n v="52.06"/>
    <n v="1"/>
    <n v="0"/>
    <x v="0"/>
    <x v="0"/>
    <x v="0"/>
    <x v="0"/>
  </r>
  <r>
    <s v="S005"/>
    <s v="P0018"/>
    <x v="4"/>
    <x v="0"/>
    <n v="731"/>
    <n v="98064"/>
    <n v="80105"/>
    <n v="134.15"/>
    <n v="109.8"/>
    <n v="0.81850000000000001"/>
    <n v="139.51"/>
    <n v="109.65"/>
    <n v="270.77"/>
    <n v="4.01"/>
    <n v="3.69"/>
    <n v="10.81"/>
    <n v="0"/>
    <n v="100"/>
    <n v="6.2899999999999998E-2"/>
    <n v="0.04"/>
    <n v="167.17"/>
    <n v="11500.97"/>
    <n v="731"/>
    <n v="109.58"/>
    <n v="53.62"/>
    <n v="1"/>
    <n v="0"/>
    <x v="0"/>
    <x v="0"/>
    <x v="0"/>
    <x v="0"/>
  </r>
  <r>
    <s v="S003"/>
    <s v="P0008"/>
    <x v="4"/>
    <x v="1"/>
    <n v="731"/>
    <n v="97864"/>
    <n v="79100"/>
    <n v="133.88"/>
    <n v="109.76"/>
    <n v="0.81979999999999997"/>
    <n v="139.47"/>
    <n v="109.62"/>
    <n v="277.19"/>
    <n v="4.55"/>
    <n v="3.42"/>
    <n v="11.76"/>
    <n v="0"/>
    <n v="100"/>
    <n v="6.3200000000000006E-2"/>
    <n v="4.1799999999999997E-2"/>
    <n v="164.73"/>
    <n v="12467.48"/>
    <n v="731"/>
    <n v="108.21"/>
    <n v="51.36"/>
    <n v="1"/>
    <n v="0"/>
    <x v="0"/>
    <x v="0"/>
    <x v="0"/>
    <x v="0"/>
  </r>
  <r>
    <s v="S005"/>
    <s v="P0008"/>
    <x v="4"/>
    <x v="0"/>
    <n v="731"/>
    <n v="97859"/>
    <n v="81106"/>
    <n v="133.87"/>
    <n v="111.2"/>
    <n v="0.83069999999999999"/>
    <n v="139.1"/>
    <n v="111.42"/>
    <n v="274.70999999999998"/>
    <n v="4.17"/>
    <n v="2.74"/>
    <n v="11.08"/>
    <n v="0"/>
    <n v="100"/>
    <n v="6.1499999999999999E-2"/>
    <n v="3.9100000000000003E-2"/>
    <n v="138.15"/>
    <n v="10607.57"/>
    <n v="731"/>
    <n v="110.95"/>
    <n v="51.41"/>
    <n v="1"/>
    <n v="0"/>
    <x v="0"/>
    <x v="0"/>
    <x v="0"/>
    <x v="0"/>
  </r>
  <r>
    <s v="S002"/>
    <s v="P0006"/>
    <x v="1"/>
    <x v="0"/>
    <n v="731"/>
    <n v="97418"/>
    <n v="79821"/>
    <n v="133.27000000000001"/>
    <n v="105.04"/>
    <n v="0.78820000000000001"/>
    <n v="137.53"/>
    <n v="105.4"/>
    <n v="270.12"/>
    <n v="5.5"/>
    <n v="2.46"/>
    <n v="10.81"/>
    <n v="0"/>
    <n v="100"/>
    <n v="0.06"/>
    <n v="3.2000000000000001E-2"/>
    <n v="127.99"/>
    <n v="10033.61"/>
    <n v="731"/>
    <n v="109.19"/>
    <n v="53.14"/>
    <n v="1"/>
    <n v="0"/>
    <x v="0"/>
    <x v="0"/>
    <x v="0"/>
    <x v="0"/>
  </r>
  <r>
    <s v="S001"/>
    <s v="P0005"/>
    <x v="1"/>
    <x v="0"/>
    <n v="731"/>
    <n v="97318"/>
    <n v="79525"/>
    <n v="133.13"/>
    <n v="107.37"/>
    <n v="0.80649999999999999"/>
    <n v="138.28"/>
    <n v="107.87"/>
    <n v="269.33"/>
    <n v="13.49"/>
    <n v="3.15"/>
    <n v="10.4"/>
    <n v="0"/>
    <n v="100"/>
    <n v="6.5500000000000003E-2"/>
    <n v="3.8699999999999998E-2"/>
    <n v="148.79"/>
    <n v="13259.79"/>
    <n v="731"/>
    <n v="108.79"/>
    <n v="53.06"/>
    <n v="1"/>
    <n v="0"/>
    <x v="1"/>
    <x v="0"/>
    <x v="0"/>
    <x v="0"/>
  </r>
  <r>
    <s v="S002"/>
    <s v="P0003"/>
    <x v="1"/>
    <x v="0"/>
    <n v="731"/>
    <n v="97227"/>
    <n v="79353"/>
    <n v="133.01"/>
    <n v="111.34"/>
    <n v="0.83709999999999996"/>
    <n v="138.22"/>
    <n v="111.31"/>
    <n v="273.89999999999998"/>
    <n v="7.75"/>
    <n v="2.6"/>
    <n v="13.68"/>
    <n v="0"/>
    <n v="100"/>
    <n v="6.3100000000000003E-2"/>
    <n v="3.9199999999999999E-2"/>
    <n v="87.25"/>
    <n v="13377.17"/>
    <n v="731"/>
    <n v="108.55"/>
    <n v="52.25"/>
    <n v="1"/>
    <n v="0"/>
    <x v="1"/>
    <x v="0"/>
    <x v="0"/>
    <x v="0"/>
  </r>
  <r>
    <s v="S001"/>
    <s v="P0016"/>
    <x v="1"/>
    <x v="0"/>
    <n v="731"/>
    <n v="97174"/>
    <n v="81277"/>
    <n v="132.93"/>
    <n v="107.54"/>
    <n v="0.80900000000000005"/>
    <n v="137.91999999999999"/>
    <n v="107.22"/>
    <n v="265.39"/>
    <n v="15.07"/>
    <n v="3.15"/>
    <n v="9.99"/>
    <n v="0"/>
    <n v="100"/>
    <n v="6.3600000000000004E-2"/>
    <n v="3.7499999999999999E-2"/>
    <n v="160.80000000000001"/>
    <n v="9604.2000000000007"/>
    <n v="731"/>
    <n v="111.19"/>
    <n v="53.32"/>
    <n v="1"/>
    <n v="0"/>
    <x v="1"/>
    <x v="0"/>
    <x v="0"/>
    <x v="0"/>
  </r>
  <r>
    <s v="S001"/>
    <s v="P0013"/>
    <x v="1"/>
    <x v="0"/>
    <n v="731"/>
    <n v="97131"/>
    <n v="82530"/>
    <n v="132.87"/>
    <n v="109.16"/>
    <n v="0.82150000000000001"/>
    <n v="138.41"/>
    <n v="109.32"/>
    <n v="263.73"/>
    <n v="10.25"/>
    <n v="3.97"/>
    <n v="10.26"/>
    <n v="0"/>
    <n v="100"/>
    <n v="6.3799999999999996E-2"/>
    <n v="4.1700000000000001E-2"/>
    <n v="178.47"/>
    <n v="12771.46"/>
    <n v="731"/>
    <n v="112.9"/>
    <n v="51.22"/>
    <n v="1"/>
    <n v="0"/>
    <x v="1"/>
    <x v="0"/>
    <x v="0"/>
    <x v="0"/>
  </r>
  <r>
    <s v="S002"/>
    <s v="P0005"/>
    <x v="1"/>
    <x v="0"/>
    <n v="731"/>
    <n v="96910"/>
    <n v="78502"/>
    <n v="132.57"/>
    <n v="104.44"/>
    <n v="0.78779999999999994"/>
    <n v="137.78"/>
    <n v="105.08"/>
    <n v="271.08999999999997"/>
    <n v="5.62"/>
    <n v="3.15"/>
    <n v="10.67"/>
    <n v="0"/>
    <n v="100"/>
    <n v="6.2600000000000003E-2"/>
    <n v="3.9300000000000002E-2"/>
    <n v="207.24"/>
    <n v="12263.58"/>
    <n v="731"/>
    <n v="107.39"/>
    <n v="52.32"/>
    <n v="1"/>
    <n v="0"/>
    <x v="0"/>
    <x v="0"/>
    <x v="0"/>
    <x v="0"/>
  </r>
  <r>
    <s v="S001"/>
    <s v="P0011"/>
    <x v="4"/>
    <x v="0"/>
    <n v="731"/>
    <n v="96852"/>
    <n v="82007"/>
    <n v="132.49"/>
    <n v="109.9"/>
    <n v="0.82950000000000002"/>
    <n v="137.19"/>
    <n v="109.58"/>
    <n v="269.19"/>
    <n v="4.55"/>
    <n v="4.51"/>
    <n v="12.72"/>
    <n v="0"/>
    <n v="100"/>
    <n v="5.9499999999999997E-2"/>
    <n v="3.5400000000000001E-2"/>
    <n v="206.74"/>
    <n v="12790.3"/>
    <n v="731"/>
    <n v="112.18"/>
    <n v="51.38"/>
    <n v="1"/>
    <n v="0"/>
    <x v="0"/>
    <x v="0"/>
    <x v="0"/>
    <x v="0"/>
  </r>
  <r>
    <s v="S001"/>
    <s v="P0010"/>
    <x v="2"/>
    <x v="0"/>
    <n v="731"/>
    <n v="96756"/>
    <n v="83158"/>
    <n v="132.36000000000001"/>
    <n v="105.92"/>
    <n v="0.80020000000000002"/>
    <n v="136.66999999999999"/>
    <n v="106.04"/>
    <n v="274.89"/>
    <n v="7.05"/>
    <n v="3.15"/>
    <n v="12.72"/>
    <n v="0"/>
    <n v="100"/>
    <n v="6.0199999999999997E-2"/>
    <n v="3.2500000000000001E-2"/>
    <n v="208.32"/>
    <n v="13773.03"/>
    <n v="731"/>
    <n v="113.76"/>
    <n v="52.75"/>
    <n v="1"/>
    <n v="0"/>
    <x v="1"/>
    <x v="0"/>
    <x v="0"/>
    <x v="0"/>
  </r>
  <r>
    <s v="S002"/>
    <s v="P0017"/>
    <x v="3"/>
    <x v="0"/>
    <n v="731"/>
    <n v="96719"/>
    <n v="81103"/>
    <n v="132.31"/>
    <n v="106.46"/>
    <n v="0.80459999999999998"/>
    <n v="137.59"/>
    <n v="106.49"/>
    <n v="274.20999999999998"/>
    <n v="8.68"/>
    <n v="3.97"/>
    <n v="13"/>
    <n v="0"/>
    <n v="100"/>
    <n v="6.4799999999999996E-2"/>
    <n v="3.9899999999999998E-2"/>
    <n v="172.59"/>
    <n v="12183.34"/>
    <n v="731"/>
    <n v="110.95"/>
    <n v="51.02"/>
    <n v="1"/>
    <n v="0"/>
    <x v="1"/>
    <x v="0"/>
    <x v="0"/>
    <x v="0"/>
  </r>
  <r>
    <s v="S003"/>
    <s v="P0004"/>
    <x v="4"/>
    <x v="1"/>
    <n v="731"/>
    <n v="96660"/>
    <n v="77433"/>
    <n v="132.22999999999999"/>
    <n v="104.89"/>
    <n v="0.79320000000000002"/>
    <n v="137.62"/>
    <n v="104.7"/>
    <n v="269.94"/>
    <n v="4.5"/>
    <n v="4.92"/>
    <n v="10.67"/>
    <n v="0"/>
    <n v="100"/>
    <n v="6.4199999999999993E-2"/>
    <n v="4.0800000000000003E-2"/>
    <n v="277.27999999999997"/>
    <n v="13673.36"/>
    <n v="731"/>
    <n v="105.93"/>
    <n v="53.51"/>
    <n v="1"/>
    <n v="0"/>
    <x v="0"/>
    <x v="0"/>
    <x v="0"/>
    <x v="0"/>
  </r>
  <r>
    <s v="S003"/>
    <s v="P0018"/>
    <x v="4"/>
    <x v="1"/>
    <n v="731"/>
    <n v="96507"/>
    <n v="80435"/>
    <n v="132.02000000000001"/>
    <n v="108.3"/>
    <n v="0.82030000000000003"/>
    <n v="137.1"/>
    <n v="108.81"/>
    <n v="269.77999999999997"/>
    <n v="4.4800000000000004"/>
    <n v="3.83"/>
    <n v="10.4"/>
    <n v="0"/>
    <n v="100"/>
    <n v="6.3200000000000006E-2"/>
    <n v="3.85E-2"/>
    <n v="172.21"/>
    <n v="12277.89"/>
    <n v="731"/>
    <n v="110.03"/>
    <n v="51.56"/>
    <n v="1"/>
    <n v="0"/>
    <x v="0"/>
    <x v="0"/>
    <x v="0"/>
    <x v="0"/>
  </r>
  <r>
    <s v="S002"/>
    <s v="P0019"/>
    <x v="3"/>
    <x v="0"/>
    <n v="731"/>
    <n v="96365"/>
    <n v="82181"/>
    <n v="131.83000000000001"/>
    <n v="107.43"/>
    <n v="0.81489999999999996"/>
    <n v="136.31"/>
    <n v="107.87"/>
    <n v="267.10000000000002"/>
    <n v="4.43"/>
    <n v="3.97"/>
    <n v="10.53"/>
    <n v="0"/>
    <n v="100"/>
    <n v="6.1199999999999997E-2"/>
    <n v="3.4000000000000002E-2"/>
    <n v="180.46"/>
    <n v="12756.41"/>
    <n v="731"/>
    <n v="112.42"/>
    <n v="52.37"/>
    <n v="1"/>
    <n v="0"/>
    <x v="0"/>
    <x v="0"/>
    <x v="0"/>
    <x v="0"/>
  </r>
  <r>
    <s v="S004"/>
    <s v="P0012"/>
    <x v="3"/>
    <x v="2"/>
    <n v="731"/>
    <n v="96327"/>
    <n v="81608"/>
    <n v="131.77000000000001"/>
    <n v="103.96"/>
    <n v="0.78890000000000005"/>
    <n v="137.21"/>
    <n v="103.95"/>
    <n v="268.75"/>
    <n v="5.19"/>
    <n v="3.83"/>
    <n v="11.49"/>
    <n v="0"/>
    <n v="100"/>
    <n v="6.54E-2"/>
    <n v="4.1300000000000003E-2"/>
    <n v="235.3"/>
    <n v="10780.81"/>
    <n v="731"/>
    <n v="111.64"/>
    <n v="53.42"/>
    <n v="1"/>
    <n v="0"/>
    <x v="0"/>
    <x v="0"/>
    <x v="0"/>
    <x v="0"/>
  </r>
  <r>
    <s v="S001"/>
    <s v="P0009"/>
    <x v="0"/>
    <x v="0"/>
    <n v="731"/>
    <n v="96080"/>
    <n v="78729"/>
    <n v="131.44"/>
    <n v="107.09"/>
    <n v="0.81469999999999998"/>
    <n v="136.41"/>
    <n v="107.83"/>
    <n v="270.52999999999997"/>
    <n v="8.11"/>
    <n v="3.56"/>
    <n v="12.04"/>
    <n v="0"/>
    <n v="100"/>
    <n v="6.2199999999999998E-2"/>
    <n v="3.78E-2"/>
    <n v="162.49"/>
    <n v="13504.75"/>
    <n v="731"/>
    <n v="107.7"/>
    <n v="52.8"/>
    <n v="1"/>
    <n v="0"/>
    <x v="1"/>
    <x v="0"/>
    <x v="0"/>
    <x v="0"/>
  </r>
  <r>
    <s v="S004"/>
    <s v="P0013"/>
    <x v="1"/>
    <x v="2"/>
    <n v="731"/>
    <n v="96049"/>
    <n v="79767"/>
    <n v="131.38999999999999"/>
    <n v="104.84"/>
    <n v="0.79790000000000005"/>
    <n v="136.52000000000001"/>
    <n v="105.1"/>
    <n v="265.20999999999998"/>
    <n v="12.26"/>
    <n v="3.69"/>
    <n v="12.45"/>
    <n v="0"/>
    <n v="100"/>
    <n v="6.59E-2"/>
    <n v="3.9E-2"/>
    <n v="168.85"/>
    <n v="12341.92"/>
    <n v="731"/>
    <n v="109.12"/>
    <n v="52.35"/>
    <n v="1"/>
    <n v="0"/>
    <x v="1"/>
    <x v="0"/>
    <x v="0"/>
    <x v="0"/>
  </r>
  <r>
    <s v="S004"/>
    <s v="P0004"/>
    <x v="4"/>
    <x v="2"/>
    <n v="731"/>
    <n v="95814"/>
    <n v="81321"/>
    <n v="131.07"/>
    <n v="107.12"/>
    <n v="0.81720000000000004"/>
    <n v="136.31"/>
    <n v="107.1"/>
    <n v="270.18"/>
    <n v="6.68"/>
    <n v="3.42"/>
    <n v="13"/>
    <n v="0"/>
    <n v="100"/>
    <n v="6.2700000000000006E-2"/>
    <n v="3.9899999999999998E-2"/>
    <n v="117.66"/>
    <n v="17050.64"/>
    <n v="731"/>
    <n v="111.25"/>
    <n v="52.38"/>
    <n v="1"/>
    <n v="0"/>
    <x v="0"/>
    <x v="0"/>
    <x v="0"/>
    <x v="0"/>
  </r>
  <r>
    <s v="S005"/>
    <s v="P0001"/>
    <x v="1"/>
    <x v="0"/>
    <n v="731"/>
    <n v="95801"/>
    <n v="80253"/>
    <n v="131.05000000000001"/>
    <n v="106.91"/>
    <n v="0.81569999999999998"/>
    <n v="136.27000000000001"/>
    <n v="107.22"/>
    <n v="268.33"/>
    <n v="4.24"/>
    <n v="3.15"/>
    <n v="11.35"/>
    <n v="0"/>
    <n v="100"/>
    <n v="6.4199999999999993E-2"/>
    <n v="3.9800000000000002E-2"/>
    <n v="177.4"/>
    <n v="11085.85"/>
    <n v="731"/>
    <n v="109.79"/>
    <n v="51.91"/>
    <n v="1"/>
    <n v="0"/>
    <x v="0"/>
    <x v="0"/>
    <x v="0"/>
    <x v="0"/>
  </r>
  <r>
    <s v="S001"/>
    <s v="P0002"/>
    <x v="0"/>
    <x v="0"/>
    <n v="731"/>
    <n v="95789"/>
    <n v="82711"/>
    <n v="131.04"/>
    <n v="104.31"/>
    <n v="0.79610000000000003"/>
    <n v="136.44999999999999"/>
    <n v="104.11"/>
    <n v="272.66000000000003"/>
    <n v="5.29"/>
    <n v="3.01"/>
    <n v="11.63"/>
    <n v="0"/>
    <n v="100"/>
    <n v="6.4199999999999993E-2"/>
    <n v="4.1300000000000003E-2"/>
    <n v="183.51"/>
    <n v="12582.21"/>
    <n v="731"/>
    <n v="113.15"/>
    <n v="52.85"/>
    <n v="1"/>
    <n v="0"/>
    <x v="0"/>
    <x v="0"/>
    <x v="0"/>
    <x v="0"/>
  </r>
  <r>
    <s v="S002"/>
    <s v="P0015"/>
    <x v="0"/>
    <x v="0"/>
    <n v="731"/>
    <n v="95606"/>
    <n v="82839"/>
    <n v="130.79"/>
    <n v="104"/>
    <n v="0.79520000000000002"/>
    <n v="136.18"/>
    <n v="104.65"/>
    <n v="269.69"/>
    <n v="7.59"/>
    <n v="3.01"/>
    <n v="10.26"/>
    <n v="0"/>
    <n v="100"/>
    <n v="6.3500000000000001E-2"/>
    <n v="4.1200000000000001E-2"/>
    <n v="169.15"/>
    <n v="12025.47"/>
    <n v="731"/>
    <n v="113.32"/>
    <n v="53"/>
    <n v="1"/>
    <n v="0"/>
    <x v="1"/>
    <x v="0"/>
    <x v="0"/>
    <x v="0"/>
  </r>
  <r>
    <s v="S001"/>
    <s v="P0006"/>
    <x v="1"/>
    <x v="0"/>
    <n v="731"/>
    <n v="95522"/>
    <n v="77941"/>
    <n v="130.66999999999999"/>
    <n v="109.02"/>
    <n v="0.83430000000000004"/>
    <n v="135.99"/>
    <n v="109.53"/>
    <n v="272.95"/>
    <n v="6.34"/>
    <n v="4.0999999999999996"/>
    <n v="12.45"/>
    <n v="0"/>
    <n v="100"/>
    <n v="6.25E-2"/>
    <n v="4.07E-2"/>
    <n v="224.28"/>
    <n v="11961.54"/>
    <n v="731"/>
    <n v="106.62"/>
    <n v="52.6"/>
    <n v="1"/>
    <n v="0"/>
    <x v="0"/>
    <x v="0"/>
    <x v="0"/>
    <x v="0"/>
  </r>
  <r>
    <s v="S004"/>
    <s v="P0002"/>
    <x v="0"/>
    <x v="2"/>
    <n v="731"/>
    <n v="95358"/>
    <n v="80040"/>
    <n v="130.44999999999999"/>
    <n v="103.44"/>
    <n v="0.79300000000000004"/>
    <n v="135.66999999999999"/>
    <n v="103.59"/>
    <n v="269.37"/>
    <n v="4.55"/>
    <n v="3.83"/>
    <n v="12.31"/>
    <n v="0"/>
    <n v="100"/>
    <n v="6.5000000000000002E-2"/>
    <n v="0.04"/>
    <n v="181.16"/>
    <n v="10735.25"/>
    <n v="731"/>
    <n v="109.49"/>
    <n v="52.55"/>
    <n v="1"/>
    <n v="0"/>
    <x v="0"/>
    <x v="0"/>
    <x v="0"/>
    <x v="0"/>
  </r>
  <r>
    <s v="S004"/>
    <s v="P0007"/>
    <x v="4"/>
    <x v="2"/>
    <n v="731"/>
    <n v="95309"/>
    <n v="81120"/>
    <n v="130.38"/>
    <n v="105.84"/>
    <n v="0.81169999999999998"/>
    <n v="135.49"/>
    <n v="106.06"/>
    <n v="262.13"/>
    <n v="4.33"/>
    <n v="3.69"/>
    <n v="10.53"/>
    <n v="0"/>
    <n v="100"/>
    <n v="6.4799999999999996E-2"/>
    <n v="3.9199999999999999E-2"/>
    <n v="216.15"/>
    <n v="10575.91"/>
    <n v="731"/>
    <n v="110.97"/>
    <n v="52.1"/>
    <n v="1"/>
    <n v="0"/>
    <x v="0"/>
    <x v="0"/>
    <x v="0"/>
    <x v="0"/>
  </r>
  <r>
    <s v="S003"/>
    <s v="P0001"/>
    <x v="1"/>
    <x v="1"/>
    <n v="731"/>
    <n v="94620"/>
    <n v="82469"/>
    <n v="129.44"/>
    <n v="106.36"/>
    <n v="0.82169999999999999"/>
    <n v="134.41"/>
    <n v="106.49"/>
    <n v="274.68"/>
    <n v="6.93"/>
    <n v="2.33"/>
    <n v="12.45"/>
    <n v="0"/>
    <n v="100"/>
    <n v="6.2700000000000006E-2"/>
    <n v="3.8399999999999997E-2"/>
    <n v="107.95"/>
    <n v="15930.59"/>
    <n v="731"/>
    <n v="112.82"/>
    <n v="51.55"/>
    <n v="1"/>
    <n v="0"/>
    <x v="0"/>
    <x v="0"/>
    <x v="0"/>
    <x v="0"/>
  </r>
  <r>
    <s v="S004"/>
    <s v="P0003"/>
    <x v="1"/>
    <x v="2"/>
    <n v="731"/>
    <n v="94436"/>
    <n v="79488"/>
    <n v="129.19"/>
    <n v="107.46"/>
    <n v="0.83179999999999998"/>
    <n v="134.32"/>
    <n v="108.01"/>
    <n v="272.02"/>
    <n v="4.49"/>
    <n v="4.0999999999999996"/>
    <n v="12.18"/>
    <n v="0"/>
    <n v="100"/>
    <n v="6.5199999999999994E-2"/>
    <n v="3.9699999999999999E-2"/>
    <n v="218.3"/>
    <n v="14306.19"/>
    <n v="731"/>
    <n v="108.74"/>
    <n v="51.79"/>
    <n v="1"/>
    <n v="0"/>
    <x v="0"/>
    <x v="0"/>
    <x v="0"/>
    <x v="0"/>
  </r>
  <r>
    <s v="S002"/>
    <s v="P0008"/>
    <x v="4"/>
    <x v="0"/>
    <n v="731"/>
    <n v="94225"/>
    <n v="81837"/>
    <n v="128.9"/>
    <n v="106.85"/>
    <n v="0.82889999999999997"/>
    <n v="134.1"/>
    <n v="107.16"/>
    <n v="268.77"/>
    <n v="4.1100000000000003"/>
    <n v="4.92"/>
    <n v="11.49"/>
    <n v="0"/>
    <n v="100"/>
    <n v="6.4299999999999996E-2"/>
    <n v="4.0300000000000002E-2"/>
    <n v="204.42"/>
    <n v="13591.7"/>
    <n v="731"/>
    <n v="111.95"/>
    <n v="52.09"/>
    <n v="1"/>
    <n v="0"/>
    <x v="0"/>
    <x v="0"/>
    <x v="0"/>
    <x v="0"/>
  </r>
  <r>
    <s v="S002"/>
    <s v="P0002"/>
    <x v="0"/>
    <x v="0"/>
    <n v="731"/>
    <n v="94143"/>
    <n v="81381"/>
    <n v="128.79"/>
    <n v="106.05"/>
    <n v="0.82350000000000001"/>
    <n v="133.82"/>
    <n v="106.33"/>
    <n v="266.43"/>
    <n v="6.2"/>
    <n v="3.28"/>
    <n v="11.08"/>
    <n v="0"/>
    <n v="100"/>
    <n v="6.3299999999999995E-2"/>
    <n v="3.9100000000000003E-2"/>
    <n v="168.89"/>
    <n v="13885.07"/>
    <n v="731"/>
    <n v="111.33"/>
    <n v="51.17"/>
    <n v="1"/>
    <n v="0"/>
    <x v="0"/>
    <x v="0"/>
    <x v="0"/>
    <x v="0"/>
  </r>
  <r>
    <s v="S004"/>
    <s v="P0018"/>
    <x v="4"/>
    <x v="2"/>
    <n v="731"/>
    <n v="94023"/>
    <n v="80051"/>
    <n v="128.62"/>
    <n v="103.72"/>
    <n v="0.80640000000000001"/>
    <n v="134.32"/>
    <n v="103.66"/>
    <n v="267.56"/>
    <n v="4.1500000000000004"/>
    <n v="3.01"/>
    <n v="12.45"/>
    <n v="0"/>
    <n v="100"/>
    <n v="6.5100000000000005E-2"/>
    <n v="4.4299999999999999E-2"/>
    <n v="114.83"/>
    <n v="11741.82"/>
    <n v="731"/>
    <n v="109.51"/>
    <n v="52.64"/>
    <n v="1"/>
    <n v="0"/>
    <x v="0"/>
    <x v="0"/>
    <x v="0"/>
    <x v="0"/>
  </r>
  <r>
    <s v="S001"/>
    <s v="P0012"/>
    <x v="3"/>
    <x v="0"/>
    <n v="731"/>
    <n v="93854"/>
    <n v="78707"/>
    <n v="128.38999999999999"/>
    <n v="102.24"/>
    <n v="0.79630000000000001"/>
    <n v="133.04"/>
    <n v="102.41"/>
    <n v="266.76"/>
    <n v="5.22"/>
    <n v="2.87"/>
    <n v="11.63"/>
    <n v="0"/>
    <n v="100"/>
    <n v="6.2799999999999995E-2"/>
    <n v="3.6200000000000003E-2"/>
    <n v="121.36"/>
    <n v="12266.59"/>
    <n v="731"/>
    <n v="107.67"/>
    <n v="52.73"/>
    <n v="1"/>
    <n v="0"/>
    <x v="0"/>
    <x v="0"/>
    <x v="0"/>
    <x v="0"/>
  </r>
  <r>
    <s v="S003"/>
    <s v="P0003"/>
    <x v="1"/>
    <x v="1"/>
    <n v="731"/>
    <n v="92556"/>
    <n v="78777"/>
    <n v="126.62"/>
    <n v="102.91"/>
    <n v="0.81279999999999997"/>
    <n v="131.72999999999999"/>
    <n v="103.66"/>
    <n v="270.20999999999998"/>
    <n v="6.85"/>
    <n v="3.56"/>
    <n v="12.86"/>
    <n v="0"/>
    <n v="100"/>
    <n v="6.7400000000000002E-2"/>
    <n v="4.0399999999999998E-2"/>
    <n v="160.09"/>
    <n v="14961.71"/>
    <n v="731"/>
    <n v="107.77"/>
    <n v="51.89"/>
    <n v="1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A9F73-0325-443B-AB3E-CC0FAA87958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8" firstHeaderRow="1" firstDataRow="3" firstDataCol="1"/>
  <pivotFields count="31">
    <pivotField showAll="0"/>
    <pivotField dataField="1" showAll="0"/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7"/>
  </rowFields>
  <rowItems count="3">
    <i>
      <x/>
    </i>
    <i>
      <x v="1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product_id" fld="1" subtotal="count" baseField="0" baseItem="0"/>
    <dataField name="Sum of total_units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8AF5E-C89E-46FB-8A7A-EB5B0B4C87B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1" firstDataRow="2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</pivotFields>
  <rowFields count="1">
    <field x="28"/>
  </rowFields>
  <rowItems count="2">
    <i>
      <x/>
    </i>
    <i t="grand">
      <x/>
    </i>
  </rowItems>
  <colFields count="1">
    <field x="30"/>
  </colFields>
  <colItems count="2">
    <i>
      <x/>
    </i>
    <i t="grand">
      <x/>
    </i>
  </colItems>
  <dataFields count="1">
    <dataField name="Count of 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0D8AA-059A-4DCA-AAFD-0E0D653E4D7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1" firstDataRow="2" firstDataCol="1"/>
  <pivotFields count="31"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29"/>
  </rowFields>
  <rowItems count="2">
    <i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0EE876-5EB5-4D08-924D-D9B2A4054EA3}" autoFormatId="16" applyNumberFormats="0" applyBorderFormats="0" applyFontFormats="0" applyPatternFormats="0" applyAlignmentFormats="0" applyWidthHeightFormats="0">
  <queryTableRefresh nextId="33">
    <queryTableFields count="31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row_count" tableColumnId="5"/>
      <queryTableField id="6" name="total_units_sold" tableColumnId="6"/>
      <queryTableField id="7" name="total_units_ordered" tableColumnId="7"/>
      <queryTableField id="8" name="avg_daily_demand" tableColumnId="8"/>
      <queryTableField id="9" name="demand_stddev" tableColumnId="9"/>
      <queryTableField id="10" name="demand_cv" tableColumnId="10"/>
      <queryTableField id="11" name="avg_daily_forecast" tableColumnId="11"/>
      <queryTableField id="12" name="forecast_stddev" tableColumnId="12"/>
      <queryTableField id="13" name="avg_inventory_level" tableColumnId="13"/>
      <queryTableField id="14" name="avg_cover_days" tableColumnId="14"/>
      <queryTableField id="15" name="low_cover_pct" tableColumnId="15"/>
      <queryTableField id="16" name="high_cover_pct" tableColumnId="16"/>
      <queryTableField id="17" name="zero_inventory_pct" tableColumnId="17"/>
      <queryTableField id="18" name="order_day_pct" tableColumnId="18"/>
      <queryTableField id="19" name="wape" tableColumnId="19"/>
      <queryTableField id="20" name="forecast_bias" tableColumnId="20"/>
      <queryTableField id="21" name="total_at_risk_units_proxy" tableColumnId="21"/>
      <queryTableField id="22" name="total_excess_units_proxy" tableColumnId="22"/>
      <queryTableField id="23" name="order_event_count" tableColumnId="23"/>
      <queryTableField id="24" name="avg_order_size_on_order_days" tableColumnId="24"/>
      <queryTableField id="25" name="order_size_stddev" tableColumnId="25"/>
      <queryTableField id="26" name="avg_days_between_orders" tableColumnId="26"/>
      <queryTableField id="27" name="stddev_days_between_orders" tableColumnId="27"/>
      <queryTableField id="28" name="reorder_behavior_assessment" tableColumnId="28"/>
      <queryTableField id="29" name="safety_stock_behavior_assessment" tableColumnId="29"/>
      <queryTableField id="30" name="lead_time_behavior_proxy" tableColumnId="30"/>
      <queryTableField id="31" name="demand_variability_band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4EDD39-0716-4430-BAB3-CD698D1A02CD}" autoFormatId="16" applyNumberFormats="0" applyBorderFormats="0" applyFontFormats="0" applyPatternFormats="0" applyAlignmentFormats="0" applyWidthHeightFormats="0">
  <queryTableRefresh nextId="9">
    <queryTableFields count="8">
      <queryTableField id="1" name="reorder_behavior_assessment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low_cover_pct" tableColumnId="5"/>
      <queryTableField id="6" name="avg_high_cover_pct" tableColumnId="6"/>
      <queryTableField id="7" name="total_at_risk_units_proxy" tableColumnId="7"/>
      <queryTableField id="8" name="total_excess_units_prox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31D0A11-C6DC-42E2-876B-940A57AB04C1}" autoFormatId="16" applyNumberFormats="0" applyBorderFormats="0" applyFontFormats="0" applyPatternFormats="0" applyAlignmentFormats="0" applyWidthHeightFormats="0">
  <queryTableRefresh nextId="9">
    <queryTableFields count="8">
      <queryTableField id="1" name="safety_stock_behavior_assessment" tableColumnId="1"/>
      <queryTableField id="2" name="sku_store_count" tableColumnId="2"/>
      <queryTableField id="3" name="total_units_sold" tableColumnId="3"/>
      <queryTableField id="4" name="avg_demand_cv" tableColumnId="4"/>
      <queryTableField id="5" name="avg_wape" tableColumnId="5"/>
      <queryTableField id="6" name="avg_cover_days" tableColumnId="6"/>
      <queryTableField id="7" name="total_at_risk_units_proxy" tableColumnId="7"/>
      <queryTableField id="8" name="total_excess_units_proxy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0FEA6B-EE76-49EA-849B-F0C2C4A24355}" autoFormatId="16" applyNumberFormats="0" applyBorderFormats="0" applyFontFormats="0" applyPatternFormats="0" applyAlignmentFormats="0" applyWidthHeightFormats="0">
  <queryTableRefresh nextId="7">
    <queryTableFields count="6">
      <queryTableField id="1" name="lead_time_behavior_proxy" tableColumnId="1"/>
      <queryTableField id="2" name="sku_store_count" tableColumnId="2"/>
      <queryTableField id="3" name="total_units_sold" tableColumnId="3"/>
      <queryTableField id="4" name="avg_order_day_pct" tableColumnId="4"/>
      <queryTableField id="5" name="avg_days_between_orders" tableColumnId="5"/>
      <queryTableField id="6" name="avg_stddev_days_between_order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910B41-1551-4A8C-B9CB-B9C5E90ACE3B}" autoFormatId="16" applyNumberFormats="0" applyBorderFormats="0" applyFontFormats="0" applyPatternFormats="0" applyAlignmentFormats="0" applyWidthHeightFormats="0">
  <queryTableRefresh nextId="8">
    <queryTableFields count="7">
      <queryTableField id="1" name="category_clean" tableColumnId="1"/>
      <queryTableField id="2" name="reorder_behavior_assessment" tableColumnId="2"/>
      <queryTableField id="3" name="safety_stock_behavior_assessment" tableColumnId="3"/>
      <queryTableField id="4" name="sku_store_count" tableColumnId="4"/>
      <queryTableField id="5" name="total_units_sold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B28FE4-04A4-471D-8975-737591D00163}" autoFormatId="16" applyNumberFormats="0" applyBorderFormats="0" applyFontFormats="0" applyPatternFormats="0" applyAlignmentFormats="0" applyWidthHeightFormats="0">
  <queryTableRefresh nextId="22">
    <queryTableFields count="21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total_units_ordered" tableColumnId="6"/>
      <queryTableField id="7" name="avg_daily_demand" tableColumnId="7"/>
      <queryTableField id="8" name="demand_cv" tableColumnId="8"/>
      <queryTableField id="9" name="avg_cover_days" tableColumnId="9"/>
      <queryTableField id="10" name="low_cover_pct" tableColumnId="10"/>
      <queryTableField id="11" name="high_cover_pct" tableColumnId="11"/>
      <queryTableField id="12" name="zero_inventory_pct" tableColumnId="12"/>
      <queryTableField id="13" name="order_day_pct" tableColumnId="13"/>
      <queryTableField id="14" name="wape" tableColumnId="14"/>
      <queryTableField id="15" name="forecast_bias" tableColumnId="15"/>
      <queryTableField id="16" name="avg_days_between_orders" tableColumnId="16"/>
      <queryTableField id="17" name="stddev_days_between_orders" tableColumnId="17"/>
      <queryTableField id="18" name="reorder_behavior_assessment" tableColumnId="18"/>
      <queryTableField id="19" name="safety_stock_behavior_assessment" tableColumnId="19"/>
      <queryTableField id="20" name="lead_time_behavior_proxy" tableColumnId="20"/>
      <queryTableField id="21" name="demand_variability_band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16980-161D-45AF-8D5C-41754FE108A1}" name="SQL_RSLT_Master" displayName="SQL_RSLT_Master" ref="A1:AE101" tableType="queryTable" totalsRowShown="0">
  <autoFilter ref="A1:AE101" xr:uid="{38416980-161D-45AF-8D5C-41754FE108A1}"/>
  <tableColumns count="31">
    <tableColumn id="1" xr3:uid="{EA66C311-0605-4A78-9D1C-83F988B7915C}" uniqueName="1" name="store_id" queryTableFieldId="1" dataDxfId="21"/>
    <tableColumn id="2" xr3:uid="{D9D57B8D-2BCC-432C-ABFC-36A923B841ED}" uniqueName="2" name="product_id" queryTableFieldId="2" dataDxfId="20"/>
    <tableColumn id="3" xr3:uid="{344B6155-04EA-4C10-A82C-B56222C4B37F}" uniqueName="3" name="category_clean" queryTableFieldId="3" dataDxfId="19"/>
    <tableColumn id="4" xr3:uid="{98593612-E85B-4506-B5AA-316D76B279F6}" uniqueName="4" name="region_clean" queryTableFieldId="4" dataDxfId="18"/>
    <tableColumn id="5" xr3:uid="{9374C0F9-CC02-46A8-A416-DDAE303138EF}" uniqueName="5" name="row_count" queryTableFieldId="5"/>
    <tableColumn id="6" xr3:uid="{404B5B22-AC41-49D7-A8C4-6EA89F0980A2}" uniqueName="6" name="total_units_sold" queryTableFieldId="6"/>
    <tableColumn id="7" xr3:uid="{4F10E04F-CF6B-4004-8DB9-2CC087EF9FF3}" uniqueName="7" name="total_units_ordered" queryTableFieldId="7"/>
    <tableColumn id="8" xr3:uid="{E0BE4A94-B558-4816-8EA4-0C901C97B547}" uniqueName="8" name="avg_daily_demand" queryTableFieldId="8"/>
    <tableColumn id="9" xr3:uid="{3E4359E4-3C04-4E68-B760-C9661FA85CF7}" uniqueName="9" name="demand_stddev" queryTableFieldId="9"/>
    <tableColumn id="10" xr3:uid="{B15EF479-7272-4E4A-AED2-BACE40AA850E}" uniqueName="10" name="demand_cv" queryTableFieldId="10"/>
    <tableColumn id="11" xr3:uid="{1292057F-EB6E-4114-89FF-31CDDE304524}" uniqueName="11" name="avg_daily_forecast" queryTableFieldId="11"/>
    <tableColumn id="12" xr3:uid="{88CCC277-5D9B-4261-9532-08BCB26AB37E}" uniqueName="12" name="forecast_stddev" queryTableFieldId="12"/>
    <tableColumn id="13" xr3:uid="{E9DEDFB1-3860-4504-9045-BA718E593DAA}" uniqueName="13" name="avg_inventory_level" queryTableFieldId="13"/>
    <tableColumn id="14" xr3:uid="{B6FF6E39-B1AA-4FDD-98CC-E3C5D57799D0}" uniqueName="14" name="avg_cover_days" queryTableFieldId="14"/>
    <tableColumn id="15" xr3:uid="{9CCCCC25-B55A-438F-8B15-BFF33229CAF4}" uniqueName="15" name="low_cover_pct" queryTableFieldId="15"/>
    <tableColumn id="16" xr3:uid="{847CD3E1-29DF-4F5B-B634-5569E556662F}" uniqueName="16" name="high_cover_pct" queryTableFieldId="16"/>
    <tableColumn id="17" xr3:uid="{0FDAEC89-DBB1-4F9C-9A4C-E644B28022C9}" uniqueName="17" name="zero_inventory_pct" queryTableFieldId="17"/>
    <tableColumn id="18" xr3:uid="{8AF5ECAA-BE43-42C3-916B-71A8F1C94DA3}" uniqueName="18" name="order_day_pct" queryTableFieldId="18"/>
    <tableColumn id="19" xr3:uid="{3B7C52D7-B4A8-4D1A-9BB9-AC25018F7B29}" uniqueName="19" name="wape" queryTableFieldId="19"/>
    <tableColumn id="20" xr3:uid="{67446F35-704A-4774-8D77-D9E7E2AC6267}" uniqueName="20" name="forecast_bias" queryTableFieldId="20"/>
    <tableColumn id="21" xr3:uid="{8A5C8C1A-F815-4E54-ACB2-6E0E45FDF0F8}" uniqueName="21" name="total_at_risk_units_proxy" queryTableFieldId="21"/>
    <tableColumn id="22" xr3:uid="{6B246145-4E5C-4E99-BE96-D297B3399DE0}" uniqueName="22" name="total_excess_units_proxy" queryTableFieldId="22"/>
    <tableColumn id="23" xr3:uid="{416D1208-5558-4200-940A-88EBD4EB6197}" uniqueName="23" name="order_event_count" queryTableFieldId="23"/>
    <tableColumn id="24" xr3:uid="{CDE41CA7-292F-4200-891C-180AB9283FA7}" uniqueName="24" name="avg_order_size_on_order_days" queryTableFieldId="24"/>
    <tableColumn id="25" xr3:uid="{9CEFA65B-090D-49D9-A32F-ADE5F2B8AA2A}" uniqueName="25" name="order_size_stddev" queryTableFieldId="25"/>
    <tableColumn id="26" xr3:uid="{C2A957E3-6B63-4ABC-8E7A-74EBA0664FA6}" uniqueName="26" name="avg_days_between_orders" queryTableFieldId="26"/>
    <tableColumn id="27" xr3:uid="{BFD9D8A4-5F2F-4651-98AE-FB2026348801}" uniqueName="27" name="stddev_days_between_orders" queryTableFieldId="27"/>
    <tableColumn id="28" xr3:uid="{85910A7D-80E6-4636-88B7-F19997EDD55A}" uniqueName="28" name="reorder_behavior_assessment" queryTableFieldId="28" dataDxfId="17"/>
    <tableColumn id="29" xr3:uid="{08503A67-B9FB-424B-8E2D-ADE6CF78266E}" uniqueName="29" name="safety_stock_behavior_assessment" queryTableFieldId="29" dataDxfId="16"/>
    <tableColumn id="30" xr3:uid="{879ED0C9-5FE7-47CE-88A7-3F6E68C41E7E}" uniqueName="30" name="lead_time_behavior_proxy" queryTableFieldId="30" dataDxfId="15"/>
    <tableColumn id="31" xr3:uid="{C378CBEC-A060-4B7F-A68E-61289FE3067D}" uniqueName="31" name="demand_variability_band" queryTableFieldId="31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F7B77-05B5-4506-8504-C771BCD9FC79}" name="SQL_Reorder_Behavior_Summary" displayName="SQL_Reorder_Behavior_Summary" ref="A1:H3" tableType="queryTable" totalsRowShown="0">
  <autoFilter ref="A1:H3" xr:uid="{B13F7B77-05B5-4506-8504-C771BCD9FC79}"/>
  <tableColumns count="8">
    <tableColumn id="1" xr3:uid="{35DEED2B-1028-4178-B474-C8C7194A2FB1}" uniqueName="1" name="reorder_behavior_assessment" queryTableFieldId="1" dataDxfId="13"/>
    <tableColumn id="2" xr3:uid="{DA6A4DB8-85B6-491F-AAD9-BA3DB255950B}" uniqueName="2" name="sku_store_count" queryTableFieldId="2"/>
    <tableColumn id="3" xr3:uid="{971FB0AD-C4B3-4DAA-8DB5-AF2A1C3E1E61}" uniqueName="3" name="total_units_sold" queryTableFieldId="3"/>
    <tableColumn id="4" xr3:uid="{3A428736-F3D6-422C-9C3E-A67A259D675F}" uniqueName="4" name="avg_cover_days" queryTableFieldId="4"/>
    <tableColumn id="5" xr3:uid="{4572CB49-58AC-4AFB-A4CB-B20A0913112D}" uniqueName="5" name="avg_low_cover_pct" queryTableFieldId="5"/>
    <tableColumn id="6" xr3:uid="{9C8ADA43-DE3A-45DC-8399-E0DA43F1E44F}" uniqueName="6" name="avg_high_cover_pct" queryTableFieldId="6"/>
    <tableColumn id="7" xr3:uid="{A4BD1352-2672-42C4-8E0B-F05492F0E41D}" uniqueName="7" name="total_at_risk_units_proxy" queryTableFieldId="7"/>
    <tableColumn id="8" xr3:uid="{9F009283-4652-48FF-869D-E17B40802ACA}" uniqueName="8" name="total_excess_units_prox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AE5DB-04B9-4356-AD00-3A1843528E1A}" name="SQL_Safety_Stock_Behavior_Summary" displayName="SQL_Safety_Stock_Behavior_Summary" ref="A1:H2" tableType="queryTable" totalsRowShown="0">
  <autoFilter ref="A1:H2" xr:uid="{CA1AE5DB-04B9-4356-AD00-3A1843528E1A}"/>
  <tableColumns count="8">
    <tableColumn id="1" xr3:uid="{B132898C-0D5B-4898-AEF4-ED499CD7EDE7}" uniqueName="1" name="safety_stock_behavior_assessment" queryTableFieldId="1" dataDxfId="12"/>
    <tableColumn id="2" xr3:uid="{3DEC2806-7F28-4DB8-8A9A-D9834235C885}" uniqueName="2" name="sku_store_count" queryTableFieldId="2"/>
    <tableColumn id="3" xr3:uid="{E9D73B3D-FBE7-4CD0-9AA5-D2CB1EADF603}" uniqueName="3" name="total_units_sold" queryTableFieldId="3"/>
    <tableColumn id="4" xr3:uid="{3B89ACB6-C4D2-41DE-9EE5-3CDBFA8C1606}" uniqueName="4" name="avg_demand_cv" queryTableFieldId="4"/>
    <tableColumn id="5" xr3:uid="{68E3935C-0A9E-4854-8AB5-8ECD3E81E4E2}" uniqueName="5" name="avg_wape" queryTableFieldId="5"/>
    <tableColumn id="6" xr3:uid="{67ED33F3-FEB6-411A-B49D-303CD1551D8E}" uniqueName="6" name="avg_cover_days" queryTableFieldId="6"/>
    <tableColumn id="7" xr3:uid="{3E53B572-D629-4787-A3B3-7BAD70A16FC9}" uniqueName="7" name="total_at_risk_units_proxy" queryTableFieldId="7"/>
    <tableColumn id="8" xr3:uid="{A79068F8-9600-4FB8-944B-470DFACEC077}" uniqueName="8" name="total_excess_units_proxy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B8E33B-19C6-455D-8F05-758071688337}" name="SQL_Leadtime_Behavior_Summary" displayName="SQL_Leadtime_Behavior_Summary" ref="A1:F2" tableType="queryTable" totalsRowShown="0">
  <autoFilter ref="A1:F2" xr:uid="{D5B8E33B-19C6-455D-8F05-758071688337}"/>
  <tableColumns count="6">
    <tableColumn id="1" xr3:uid="{CD379C64-51B1-4C96-B9D0-517D4F78E1E8}" uniqueName="1" name="lead_time_behavior_proxy" queryTableFieldId="1" dataDxfId="11"/>
    <tableColumn id="2" xr3:uid="{966E4A19-31FA-4686-B687-2A37A61F5BDC}" uniqueName="2" name="sku_store_count" queryTableFieldId="2"/>
    <tableColumn id="3" xr3:uid="{04E5E907-92B9-4933-9418-88DDE322142D}" uniqueName="3" name="total_units_sold" queryTableFieldId="3"/>
    <tableColumn id="4" xr3:uid="{5E225391-DA74-4CBC-A671-4F8D2092F531}" uniqueName="4" name="avg_order_day_pct" queryTableFieldId="4"/>
    <tableColumn id="5" xr3:uid="{43B75756-8AA5-42D2-B419-DC48100EE778}" uniqueName="5" name="avg_days_between_orders" queryTableFieldId="5"/>
    <tableColumn id="6" xr3:uid="{F8ED2DD1-749B-4FD6-A402-F778A8018896}" uniqueName="6" name="avg_stddev_days_between_order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134B17-28D2-48EB-99DD-64F37087BD73}" name="SQL_Category_RSLT_Summary" displayName="SQL_Category_RSLT_Summary" ref="A1:G11" tableType="queryTable" totalsRowShown="0">
  <autoFilter ref="A1:G11" xr:uid="{93134B17-28D2-48EB-99DD-64F37087BD73}"/>
  <tableColumns count="7">
    <tableColumn id="1" xr3:uid="{7F4056E0-2558-4D28-AE8A-E009C530D39B}" uniqueName="1" name="category_clean" queryTableFieldId="1" dataDxfId="10"/>
    <tableColumn id="2" xr3:uid="{571239E0-504D-4F09-8004-A98801DEC3A2}" uniqueName="2" name="reorder_behavior_assessment" queryTableFieldId="2" dataDxfId="9"/>
    <tableColumn id="3" xr3:uid="{74BF24CA-D9CB-4838-9496-372F1A28F868}" uniqueName="3" name="safety_stock_behavior_assessment" queryTableFieldId="3" dataDxfId="8"/>
    <tableColumn id="4" xr3:uid="{55297074-157B-4136-BBC9-3DC296BFE265}" uniqueName="4" name="sku_store_count" queryTableFieldId="4"/>
    <tableColumn id="5" xr3:uid="{BB05392A-E6D7-4F2E-860F-26E40C314921}" uniqueName="5" name="total_units_sold" queryTableFieldId="5"/>
    <tableColumn id="6" xr3:uid="{B6642475-A2B7-4DD5-896C-611D1DC8B722}" uniqueName="6" name="total_at_risk_units_proxy" queryTableFieldId="6"/>
    <tableColumn id="7" xr3:uid="{1D9D1F01-B058-49C8-8069-36A29D173FC3}" uniqueName="7" name="total_excess_units_proxy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D014B2-EC80-42FB-9B14-78142A8F008D}" name="SQL_RSLT_Review_Priority_Items" displayName="SQL_RSLT_Review_Priority_Items" ref="A1:U24" tableType="queryTable" totalsRowShown="0">
  <autoFilter ref="A1:U24" xr:uid="{35D014B2-EC80-42FB-9B14-78142A8F008D}"/>
  <tableColumns count="21">
    <tableColumn id="1" xr3:uid="{0C4E03F7-3062-4AD3-827C-540F46E6E373}" uniqueName="1" name="store_id" queryTableFieldId="1" dataDxfId="7"/>
    <tableColumn id="2" xr3:uid="{D14475D2-819A-4F37-9E26-1B770AD59F88}" uniqueName="2" name="product_id" queryTableFieldId="2" dataDxfId="6"/>
    <tableColumn id="3" xr3:uid="{2C2BF402-8C45-4AEF-8DB8-D432BE687FD9}" uniqueName="3" name="category_clean" queryTableFieldId="3" dataDxfId="5"/>
    <tableColumn id="4" xr3:uid="{F710BB38-2FE8-4916-BB93-FAE610FB8883}" uniqueName="4" name="region_clean" queryTableFieldId="4" dataDxfId="4"/>
    <tableColumn id="5" xr3:uid="{FCAA4DF6-BB89-40D9-BE5C-D1620EA51A2D}" uniqueName="5" name="total_units_sold" queryTableFieldId="5"/>
    <tableColumn id="6" xr3:uid="{68FCBE99-9A6F-4663-887E-498914E274A9}" uniqueName="6" name="total_units_ordered" queryTableFieldId="6"/>
    <tableColumn id="7" xr3:uid="{446FD416-8FDF-44EE-B11D-5CD40F19DD25}" uniqueName="7" name="avg_daily_demand" queryTableFieldId="7"/>
    <tableColumn id="8" xr3:uid="{1C189A72-E867-4EB0-9531-F58B37355114}" uniqueName="8" name="demand_cv" queryTableFieldId="8"/>
    <tableColumn id="9" xr3:uid="{A530FD19-0442-4F17-84E9-3DF1C82A41DD}" uniqueName="9" name="avg_cover_days" queryTableFieldId="9"/>
    <tableColumn id="10" xr3:uid="{AB42A2E9-C0C7-42ED-AEC2-1BE7BB45FC23}" uniqueName="10" name="low_cover_pct" queryTableFieldId="10"/>
    <tableColumn id="11" xr3:uid="{FDB5887C-8415-4BBF-8150-9EBB186AAE0A}" uniqueName="11" name="high_cover_pct" queryTableFieldId="11"/>
    <tableColumn id="12" xr3:uid="{EBBCB56A-DA13-425F-87A4-1F6BD328960D}" uniqueName="12" name="zero_inventory_pct" queryTableFieldId="12"/>
    <tableColumn id="13" xr3:uid="{8C3FCC22-9419-4D0D-A7BE-65EB3CA49361}" uniqueName="13" name="order_day_pct" queryTableFieldId="13"/>
    <tableColumn id="14" xr3:uid="{3844A1BF-2FEF-4D0F-8FA3-E777D65AB901}" uniqueName="14" name="wape" queryTableFieldId="14"/>
    <tableColumn id="15" xr3:uid="{A8DC6DBF-40DB-4DDB-903E-EA51C2A48517}" uniqueName="15" name="forecast_bias" queryTableFieldId="15"/>
    <tableColumn id="16" xr3:uid="{2FC6DD0A-2AA4-4DA0-92A1-1EF0F810CFD4}" uniqueName="16" name="avg_days_between_orders" queryTableFieldId="16"/>
    <tableColumn id="17" xr3:uid="{6C711C46-E027-4ECA-8F32-405CE4888B50}" uniqueName="17" name="stddev_days_between_orders" queryTableFieldId="17"/>
    <tableColumn id="18" xr3:uid="{0EA0F8A3-5F9D-44D4-AB66-E11E61EAA6C8}" uniqueName="18" name="reorder_behavior_assessment" queryTableFieldId="18" dataDxfId="3"/>
    <tableColumn id="19" xr3:uid="{C891C20F-CC2D-4820-BED3-4AB3F6861E12}" uniqueName="19" name="safety_stock_behavior_assessment" queryTableFieldId="19" dataDxfId="2"/>
    <tableColumn id="20" xr3:uid="{EFF498E2-407A-4D09-B436-F19432ECFF8C}" uniqueName="20" name="lead_time_behavior_proxy" queryTableFieldId="20" dataDxfId="1"/>
    <tableColumn id="21" xr3:uid="{7B4D30EB-427C-414E-B19F-C1D133BD77F8}" uniqueName="21" name="demand_variability_band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AD8A-0907-4864-9933-CC95147A8BD0}">
  <dimension ref="A3:M8"/>
  <sheetViews>
    <sheetView workbookViewId="0">
      <selection activeCell="F4" sqref="F4:G4 F6:G8"/>
      <pivotSelection pane="bottomRight" showHeader="1" extendable="1" axis="axisCol" start="4" max="12" activeRow="3" activeCol="5" previousRow="3" previousCol="5" click="1" r:id="rId1">
        <pivotArea dataOnly="0" outline="0" fieldPosition="0">
          <references count="1">
            <reference field="2" count="1">
              <x v="2"/>
            </reference>
          </references>
        </pivotArea>
      </pivotSelection>
    </sheetView>
  </sheetViews>
  <sheetFormatPr defaultRowHeight="14.4" x14ac:dyDescent="0.3"/>
  <cols>
    <col min="1" max="1" width="24.33203125" bestFit="1" customWidth="1"/>
    <col min="2" max="2" width="18.21875" bestFit="1" customWidth="1"/>
    <col min="3" max="3" width="21.109375" bestFit="1" customWidth="1"/>
    <col min="4" max="4" width="18.21875" bestFit="1" customWidth="1"/>
    <col min="5" max="5" width="21.109375" bestFit="1" customWidth="1"/>
    <col min="6" max="6" width="18.21875" bestFit="1" customWidth="1"/>
    <col min="7" max="7" width="21.109375" bestFit="1" customWidth="1"/>
    <col min="8" max="8" width="18.21875" bestFit="1" customWidth="1"/>
    <col min="9" max="9" width="21.109375" bestFit="1" customWidth="1"/>
    <col min="10" max="10" width="18.21875" bestFit="1" customWidth="1"/>
    <col min="11" max="11" width="21.109375" bestFit="1" customWidth="1"/>
    <col min="12" max="12" width="23" bestFit="1" customWidth="1"/>
    <col min="13" max="13" width="26" bestFit="1" customWidth="1"/>
  </cols>
  <sheetData>
    <row r="3" spans="1:13" x14ac:dyDescent="0.3">
      <c r="B3" s="1" t="s">
        <v>78</v>
      </c>
    </row>
    <row r="4" spans="1:13" x14ac:dyDescent="0.3">
      <c r="B4" t="s">
        <v>56</v>
      </c>
      <c r="D4" t="s">
        <v>62</v>
      </c>
      <c r="F4" t="s">
        <v>33</v>
      </c>
      <c r="H4" t="s">
        <v>41</v>
      </c>
      <c r="J4" t="s">
        <v>50</v>
      </c>
      <c r="L4" t="s">
        <v>80</v>
      </c>
      <c r="M4" t="s">
        <v>81</v>
      </c>
    </row>
    <row r="5" spans="1:13" x14ac:dyDescent="0.3">
      <c r="A5" s="1" t="s">
        <v>76</v>
      </c>
      <c r="B5" t="s">
        <v>79</v>
      </c>
      <c r="C5" t="s">
        <v>82</v>
      </c>
      <c r="D5" t="s">
        <v>79</v>
      </c>
      <c r="E5" t="s">
        <v>82</v>
      </c>
      <c r="F5" t="s">
        <v>79</v>
      </c>
      <c r="G5" t="s">
        <v>82</v>
      </c>
      <c r="H5" t="s">
        <v>79</v>
      </c>
      <c r="I5" t="s">
        <v>82</v>
      </c>
      <c r="J5" t="s">
        <v>79</v>
      </c>
      <c r="K5" t="s">
        <v>82</v>
      </c>
    </row>
    <row r="6" spans="1:13" x14ac:dyDescent="0.3">
      <c r="A6" s="2" t="s">
        <v>35</v>
      </c>
      <c r="B6">
        <v>11</v>
      </c>
      <c r="C6">
        <v>1095447</v>
      </c>
      <c r="D6">
        <v>22</v>
      </c>
      <c r="E6">
        <v>2173838</v>
      </c>
      <c r="F6">
        <v>11</v>
      </c>
      <c r="G6">
        <v>1102973</v>
      </c>
      <c r="H6">
        <v>21</v>
      </c>
      <c r="I6">
        <v>2109488</v>
      </c>
      <c r="J6">
        <v>12</v>
      </c>
      <c r="K6">
        <v>1215874</v>
      </c>
      <c r="L6">
        <v>77</v>
      </c>
      <c r="M6">
        <v>7697620</v>
      </c>
    </row>
    <row r="7" spans="1:13" x14ac:dyDescent="0.3">
      <c r="A7" s="2" t="s">
        <v>47</v>
      </c>
      <c r="B7">
        <v>4</v>
      </c>
      <c r="C7">
        <v>394632</v>
      </c>
      <c r="D7">
        <v>3</v>
      </c>
      <c r="E7">
        <v>301460</v>
      </c>
      <c r="F7">
        <v>4</v>
      </c>
      <c r="G7">
        <v>394223</v>
      </c>
      <c r="H7">
        <v>9</v>
      </c>
      <c r="I7">
        <v>891722</v>
      </c>
      <c r="J7">
        <v>3</v>
      </c>
      <c r="K7">
        <v>295925</v>
      </c>
      <c r="L7">
        <v>23</v>
      </c>
      <c r="M7">
        <v>2277962</v>
      </c>
    </row>
    <row r="8" spans="1:13" x14ac:dyDescent="0.3">
      <c r="A8" s="2" t="s">
        <v>77</v>
      </c>
      <c r="B8">
        <v>15</v>
      </c>
      <c r="C8">
        <v>1490079</v>
      </c>
      <c r="D8">
        <v>25</v>
      </c>
      <c r="E8">
        <v>2475298</v>
      </c>
      <c r="F8">
        <v>15</v>
      </c>
      <c r="G8">
        <v>1497196</v>
      </c>
      <c r="H8">
        <v>30</v>
      </c>
      <c r="I8">
        <v>3001210</v>
      </c>
      <c r="J8">
        <v>15</v>
      </c>
      <c r="K8">
        <v>1511799</v>
      </c>
      <c r="L8">
        <v>100</v>
      </c>
      <c r="M8">
        <v>9975582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047E-FC50-4B32-8EA7-7E85A5C69207}">
  <dimension ref="A3:C6"/>
  <sheetViews>
    <sheetView workbookViewId="0">
      <selection activeCell="A3" sqref="A3"/>
    </sheetView>
  </sheetViews>
  <sheetFormatPr defaultRowHeight="14.4" x14ac:dyDescent="0.3"/>
  <cols>
    <col min="1" max="1" width="21.33203125" bestFit="1" customWidth="1"/>
    <col min="2" max="2" width="17.21875" bestFit="1" customWidth="1"/>
    <col min="3" max="3" width="10.77734375" bestFit="1" customWidth="1"/>
  </cols>
  <sheetData>
    <row r="3" spans="1:3" x14ac:dyDescent="0.3">
      <c r="A3" s="1" t="s">
        <v>79</v>
      </c>
      <c r="B3" s="1" t="s">
        <v>78</v>
      </c>
    </row>
    <row r="4" spans="1:3" x14ac:dyDescent="0.3">
      <c r="A4" s="1" t="s">
        <v>76</v>
      </c>
      <c r="B4" t="s">
        <v>38</v>
      </c>
      <c r="C4" t="s">
        <v>77</v>
      </c>
    </row>
    <row r="5" spans="1:3" x14ac:dyDescent="0.3">
      <c r="A5" s="2" t="s">
        <v>36</v>
      </c>
      <c r="B5">
        <v>100</v>
      </c>
      <c r="C5">
        <v>100</v>
      </c>
    </row>
    <row r="6" spans="1:3" x14ac:dyDescent="0.3">
      <c r="A6" s="2" t="s">
        <v>77</v>
      </c>
      <c r="B6">
        <v>100</v>
      </c>
      <c r="C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25BC-EAF5-4775-9BE2-14D8D69516D0}">
  <dimension ref="A3:E6"/>
  <sheetViews>
    <sheetView workbookViewId="0">
      <selection activeCell="A3" sqref="A3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3" width="6" bestFit="1" customWidth="1"/>
    <col min="4" max="4" width="5.21875" bestFit="1" customWidth="1"/>
    <col min="5" max="5" width="10.77734375" bestFit="1" customWidth="1"/>
  </cols>
  <sheetData>
    <row r="3" spans="1:5" x14ac:dyDescent="0.3">
      <c r="A3" s="1" t="s">
        <v>79</v>
      </c>
      <c r="B3" s="1" t="s">
        <v>78</v>
      </c>
    </row>
    <row r="4" spans="1:5" x14ac:dyDescent="0.3">
      <c r="A4" s="1" t="s">
        <v>76</v>
      </c>
      <c r="B4" t="s">
        <v>34</v>
      </c>
      <c r="C4" t="s">
        <v>42</v>
      </c>
      <c r="D4" t="s">
        <v>54</v>
      </c>
      <c r="E4" t="s">
        <v>77</v>
      </c>
    </row>
    <row r="5" spans="1:5" x14ac:dyDescent="0.3">
      <c r="A5" s="2" t="s">
        <v>37</v>
      </c>
      <c r="B5">
        <v>60</v>
      </c>
      <c r="C5">
        <v>20</v>
      </c>
      <c r="D5">
        <v>20</v>
      </c>
      <c r="E5">
        <v>100</v>
      </c>
    </row>
    <row r="6" spans="1:5" x14ac:dyDescent="0.3">
      <c r="A6" s="2" t="s">
        <v>77</v>
      </c>
      <c r="B6">
        <v>60</v>
      </c>
      <c r="C6">
        <v>20</v>
      </c>
      <c r="D6">
        <v>20</v>
      </c>
      <c r="E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7980-13B7-433B-B804-A9CC690B0D31}">
  <dimension ref="A1:AE101"/>
  <sheetViews>
    <sheetView tabSelected="1" topLeftCell="AB1" workbookViewId="0">
      <selection activeCell="AH9" sqref="AH9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2.33203125" bestFit="1" customWidth="1"/>
    <col min="6" max="6" width="16.77734375" bestFit="1" customWidth="1"/>
    <col min="7" max="7" width="20.109375" bestFit="1" customWidth="1"/>
    <col min="8" max="8" width="19.44140625" bestFit="1" customWidth="1"/>
    <col min="9" max="9" width="17" bestFit="1" customWidth="1"/>
    <col min="10" max="10" width="13.109375" bestFit="1" customWidth="1"/>
    <col min="11" max="11" width="19.109375" bestFit="1" customWidth="1"/>
    <col min="12" max="12" width="16.77734375" bestFit="1" customWidth="1"/>
    <col min="13" max="13" width="20.44140625" bestFit="1" customWidth="1"/>
    <col min="14" max="14" width="16.88671875" bestFit="1" customWidth="1"/>
    <col min="15" max="15" width="15.6640625" bestFit="1" customWidth="1"/>
    <col min="16" max="16" width="16.33203125" bestFit="1" customWidth="1"/>
    <col min="17" max="17" width="19.77734375" bestFit="1" customWidth="1"/>
    <col min="18" max="18" width="15.6640625" bestFit="1" customWidth="1"/>
    <col min="19" max="19" width="7.77734375" bestFit="1" customWidth="1"/>
    <col min="20" max="20" width="14.33203125" bestFit="1" customWidth="1"/>
    <col min="21" max="21" width="24.88671875" bestFit="1" customWidth="1"/>
    <col min="22" max="22" width="24.6640625" bestFit="1" customWidth="1"/>
    <col min="23" max="23" width="19.6640625" bestFit="1" customWidth="1"/>
    <col min="24" max="24" width="29.88671875" bestFit="1" customWidth="1"/>
    <col min="25" max="25" width="18.5546875" bestFit="1" customWidth="1"/>
    <col min="26" max="26" width="26.109375" bestFit="1" customWidth="1"/>
    <col min="27" max="28" width="28.88671875" bestFit="1" customWidth="1"/>
    <col min="29" max="29" width="33.33203125" bestFit="1" customWidth="1"/>
    <col min="30" max="30" width="26.109375" bestFit="1" customWidth="1"/>
    <col min="31" max="31" width="25.109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>
        <v>731</v>
      </c>
      <c r="F2">
        <v>109099</v>
      </c>
      <c r="G2">
        <v>77855</v>
      </c>
      <c r="H2">
        <v>149.25</v>
      </c>
      <c r="I2">
        <v>115.68</v>
      </c>
      <c r="J2">
        <v>0.77510000000000001</v>
      </c>
      <c r="K2">
        <v>154.85</v>
      </c>
      <c r="L2">
        <v>115.89</v>
      </c>
      <c r="M2">
        <v>277.91000000000003</v>
      </c>
      <c r="N2">
        <v>4.04</v>
      </c>
      <c r="O2">
        <v>4.79</v>
      </c>
      <c r="P2">
        <v>8.48</v>
      </c>
      <c r="Q2">
        <v>0</v>
      </c>
      <c r="R2">
        <v>100</v>
      </c>
      <c r="S2">
        <v>5.7200000000000001E-2</v>
      </c>
      <c r="T2">
        <v>3.7499999999999999E-2</v>
      </c>
      <c r="U2">
        <v>164.59</v>
      </c>
      <c r="V2">
        <v>9342.2900000000009</v>
      </c>
      <c r="W2">
        <v>731</v>
      </c>
      <c r="X2">
        <v>106.5</v>
      </c>
      <c r="Y2">
        <v>53.43</v>
      </c>
      <c r="Z2">
        <v>1</v>
      </c>
      <c r="AA2">
        <v>0</v>
      </c>
      <c r="AB2" t="s">
        <v>35</v>
      </c>
      <c r="AC2" t="s">
        <v>36</v>
      </c>
      <c r="AD2" t="s">
        <v>37</v>
      </c>
      <c r="AE2" t="s">
        <v>38</v>
      </c>
    </row>
    <row r="3" spans="1:31" x14ac:dyDescent="0.3">
      <c r="A3" t="s">
        <v>39</v>
      </c>
      <c r="B3" t="s">
        <v>40</v>
      </c>
      <c r="C3" t="s">
        <v>41</v>
      </c>
      <c r="D3" t="s">
        <v>42</v>
      </c>
      <c r="E3">
        <v>731</v>
      </c>
      <c r="F3">
        <v>107479</v>
      </c>
      <c r="G3">
        <v>81673</v>
      </c>
      <c r="H3">
        <v>147.03</v>
      </c>
      <c r="I3">
        <v>112.6</v>
      </c>
      <c r="J3">
        <v>0.76590000000000003</v>
      </c>
      <c r="K3">
        <v>151.66</v>
      </c>
      <c r="L3">
        <v>112.63</v>
      </c>
      <c r="M3">
        <v>285.26</v>
      </c>
      <c r="N3">
        <v>4.4000000000000004</v>
      </c>
      <c r="O3">
        <v>2.74</v>
      </c>
      <c r="P3">
        <v>9.99</v>
      </c>
      <c r="Q3">
        <v>0</v>
      </c>
      <c r="R3">
        <v>100</v>
      </c>
      <c r="S3">
        <v>5.57E-2</v>
      </c>
      <c r="T3">
        <v>3.15E-2</v>
      </c>
      <c r="U3">
        <v>151.84</v>
      </c>
      <c r="V3">
        <v>11155.79</v>
      </c>
      <c r="W3">
        <v>731</v>
      </c>
      <c r="X3">
        <v>111.73</v>
      </c>
      <c r="Y3">
        <v>51.81</v>
      </c>
      <c r="Z3">
        <v>1</v>
      </c>
      <c r="AA3">
        <v>0</v>
      </c>
      <c r="AB3" t="s">
        <v>35</v>
      </c>
      <c r="AC3" t="s">
        <v>36</v>
      </c>
      <c r="AD3" t="s">
        <v>37</v>
      </c>
      <c r="AE3" t="s">
        <v>38</v>
      </c>
    </row>
    <row r="4" spans="1:31" x14ac:dyDescent="0.3">
      <c r="A4" t="s">
        <v>43</v>
      </c>
      <c r="B4" t="s">
        <v>44</v>
      </c>
      <c r="C4" t="s">
        <v>41</v>
      </c>
      <c r="D4" t="s">
        <v>34</v>
      </c>
      <c r="E4">
        <v>731</v>
      </c>
      <c r="F4">
        <v>105999</v>
      </c>
      <c r="G4">
        <v>80793</v>
      </c>
      <c r="H4">
        <v>145.01</v>
      </c>
      <c r="I4">
        <v>113.57</v>
      </c>
      <c r="J4">
        <v>0.78320000000000001</v>
      </c>
      <c r="K4">
        <v>149.69999999999999</v>
      </c>
      <c r="L4">
        <v>113.63</v>
      </c>
      <c r="M4">
        <v>278.33999999999997</v>
      </c>
      <c r="N4">
        <v>4.28</v>
      </c>
      <c r="O4">
        <v>3.28</v>
      </c>
      <c r="P4">
        <v>9.58</v>
      </c>
      <c r="Q4">
        <v>0</v>
      </c>
      <c r="R4">
        <v>100</v>
      </c>
      <c r="S4">
        <v>5.5500000000000001E-2</v>
      </c>
      <c r="T4">
        <v>3.2399999999999998E-2</v>
      </c>
      <c r="U4">
        <v>164.19</v>
      </c>
      <c r="V4">
        <v>9487.7199999999993</v>
      </c>
      <c r="W4">
        <v>731</v>
      </c>
      <c r="X4">
        <v>110.52</v>
      </c>
      <c r="Y4">
        <v>50.5</v>
      </c>
      <c r="Z4">
        <v>1</v>
      </c>
      <c r="AA4">
        <v>0</v>
      </c>
      <c r="AB4" t="s">
        <v>35</v>
      </c>
      <c r="AC4" t="s">
        <v>36</v>
      </c>
      <c r="AD4" t="s">
        <v>37</v>
      </c>
      <c r="AE4" t="s">
        <v>38</v>
      </c>
    </row>
    <row r="5" spans="1:31" x14ac:dyDescent="0.3">
      <c r="A5" t="s">
        <v>31</v>
      </c>
      <c r="B5" t="s">
        <v>45</v>
      </c>
      <c r="C5" t="s">
        <v>41</v>
      </c>
      <c r="D5" t="s">
        <v>34</v>
      </c>
      <c r="E5">
        <v>731</v>
      </c>
      <c r="F5">
        <v>105667</v>
      </c>
      <c r="G5">
        <v>81734</v>
      </c>
      <c r="H5">
        <v>144.55000000000001</v>
      </c>
      <c r="I5">
        <v>111.93</v>
      </c>
      <c r="J5">
        <v>0.77429999999999999</v>
      </c>
      <c r="K5">
        <v>149.99</v>
      </c>
      <c r="L5">
        <v>113.04</v>
      </c>
      <c r="M5">
        <v>283.99</v>
      </c>
      <c r="N5">
        <v>5.09</v>
      </c>
      <c r="O5">
        <v>3.42</v>
      </c>
      <c r="P5">
        <v>10.53</v>
      </c>
      <c r="Q5">
        <v>0</v>
      </c>
      <c r="R5">
        <v>100</v>
      </c>
      <c r="S5">
        <v>5.9200000000000003E-2</v>
      </c>
      <c r="T5">
        <v>3.7600000000000001E-2</v>
      </c>
      <c r="U5">
        <v>137.07</v>
      </c>
      <c r="V5">
        <v>12436.39</v>
      </c>
      <c r="W5">
        <v>731</v>
      </c>
      <c r="X5">
        <v>111.81</v>
      </c>
      <c r="Y5">
        <v>52.98</v>
      </c>
      <c r="Z5">
        <v>1</v>
      </c>
      <c r="AA5">
        <v>0</v>
      </c>
      <c r="AB5" t="s">
        <v>35</v>
      </c>
      <c r="AC5" t="s">
        <v>36</v>
      </c>
      <c r="AD5" t="s">
        <v>37</v>
      </c>
      <c r="AE5" t="s">
        <v>38</v>
      </c>
    </row>
    <row r="6" spans="1:31" x14ac:dyDescent="0.3">
      <c r="A6" t="s">
        <v>39</v>
      </c>
      <c r="B6" t="s">
        <v>46</v>
      </c>
      <c r="C6" t="s">
        <v>41</v>
      </c>
      <c r="D6" t="s">
        <v>42</v>
      </c>
      <c r="E6">
        <v>731</v>
      </c>
      <c r="F6">
        <v>105408</v>
      </c>
      <c r="G6">
        <v>81982</v>
      </c>
      <c r="H6">
        <v>144.19999999999999</v>
      </c>
      <c r="I6">
        <v>109.34</v>
      </c>
      <c r="J6">
        <v>0.75829999999999997</v>
      </c>
      <c r="K6">
        <v>148.97</v>
      </c>
      <c r="L6">
        <v>110.11</v>
      </c>
      <c r="M6">
        <v>277.57</v>
      </c>
      <c r="N6">
        <v>8.6300000000000008</v>
      </c>
      <c r="O6">
        <v>2.87</v>
      </c>
      <c r="P6">
        <v>10.81</v>
      </c>
      <c r="Q6">
        <v>0</v>
      </c>
      <c r="R6">
        <v>100</v>
      </c>
      <c r="S6">
        <v>5.7500000000000002E-2</v>
      </c>
      <c r="T6">
        <v>3.3099999999999997E-2</v>
      </c>
      <c r="U6">
        <v>173.31</v>
      </c>
      <c r="V6">
        <v>11387.28</v>
      </c>
      <c r="W6">
        <v>731</v>
      </c>
      <c r="X6">
        <v>112.15</v>
      </c>
      <c r="Y6">
        <v>51.92</v>
      </c>
      <c r="Z6">
        <v>1</v>
      </c>
      <c r="AA6">
        <v>0</v>
      </c>
      <c r="AB6" t="s">
        <v>47</v>
      </c>
      <c r="AC6" t="s">
        <v>36</v>
      </c>
      <c r="AD6" t="s">
        <v>37</v>
      </c>
      <c r="AE6" t="s">
        <v>38</v>
      </c>
    </row>
    <row r="7" spans="1:31" x14ac:dyDescent="0.3">
      <c r="A7" t="s">
        <v>43</v>
      </c>
      <c r="B7" t="s">
        <v>48</v>
      </c>
      <c r="C7" t="s">
        <v>33</v>
      </c>
      <c r="D7" t="s">
        <v>34</v>
      </c>
      <c r="E7">
        <v>731</v>
      </c>
      <c r="F7">
        <v>105376</v>
      </c>
      <c r="G7">
        <v>80265</v>
      </c>
      <c r="H7">
        <v>144.15</v>
      </c>
      <c r="I7">
        <v>112.42</v>
      </c>
      <c r="J7">
        <v>0.77990000000000004</v>
      </c>
      <c r="K7">
        <v>149.18</v>
      </c>
      <c r="L7">
        <v>112.51</v>
      </c>
      <c r="M7">
        <v>282.95</v>
      </c>
      <c r="N7">
        <v>3.81</v>
      </c>
      <c r="O7">
        <v>3.69</v>
      </c>
      <c r="P7">
        <v>11.35</v>
      </c>
      <c r="Q7">
        <v>0</v>
      </c>
      <c r="R7">
        <v>100</v>
      </c>
      <c r="S7">
        <v>5.8000000000000003E-2</v>
      </c>
      <c r="T7">
        <v>3.49E-2</v>
      </c>
      <c r="U7">
        <v>219.7</v>
      </c>
      <c r="V7">
        <v>11882.97</v>
      </c>
      <c r="W7">
        <v>731</v>
      </c>
      <c r="X7">
        <v>109.8</v>
      </c>
      <c r="Y7">
        <v>52.07</v>
      </c>
      <c r="Z7">
        <v>1</v>
      </c>
      <c r="AA7">
        <v>0</v>
      </c>
      <c r="AB7" t="s">
        <v>35</v>
      </c>
      <c r="AC7" t="s">
        <v>36</v>
      </c>
      <c r="AD7" t="s">
        <v>37</v>
      </c>
      <c r="AE7" t="s">
        <v>38</v>
      </c>
    </row>
    <row r="8" spans="1:31" x14ac:dyDescent="0.3">
      <c r="A8" t="s">
        <v>43</v>
      </c>
      <c r="B8" t="s">
        <v>49</v>
      </c>
      <c r="C8" t="s">
        <v>50</v>
      </c>
      <c r="D8" t="s">
        <v>34</v>
      </c>
      <c r="E8">
        <v>731</v>
      </c>
      <c r="F8">
        <v>105343</v>
      </c>
      <c r="G8">
        <v>81092</v>
      </c>
      <c r="H8">
        <v>144.11000000000001</v>
      </c>
      <c r="I8">
        <v>113.54</v>
      </c>
      <c r="J8">
        <v>0.78790000000000004</v>
      </c>
      <c r="K8">
        <v>148.9</v>
      </c>
      <c r="L8">
        <v>113.26</v>
      </c>
      <c r="M8">
        <v>276.31</v>
      </c>
      <c r="N8">
        <v>4.5199999999999996</v>
      </c>
      <c r="O8">
        <v>4.6500000000000004</v>
      </c>
      <c r="P8">
        <v>10.67</v>
      </c>
      <c r="Q8">
        <v>0</v>
      </c>
      <c r="R8">
        <v>100</v>
      </c>
      <c r="S8">
        <v>5.7700000000000001E-2</v>
      </c>
      <c r="T8">
        <v>3.32E-2</v>
      </c>
      <c r="U8">
        <v>257.39</v>
      </c>
      <c r="V8">
        <v>8660.85</v>
      </c>
      <c r="W8">
        <v>731</v>
      </c>
      <c r="X8">
        <v>110.93</v>
      </c>
      <c r="Y8">
        <v>51.9</v>
      </c>
      <c r="Z8">
        <v>1</v>
      </c>
      <c r="AA8">
        <v>0</v>
      </c>
      <c r="AB8" t="s">
        <v>35</v>
      </c>
      <c r="AC8" t="s">
        <v>36</v>
      </c>
      <c r="AD8" t="s">
        <v>37</v>
      </c>
      <c r="AE8" t="s">
        <v>38</v>
      </c>
    </row>
    <row r="9" spans="1:31" x14ac:dyDescent="0.3">
      <c r="A9" t="s">
        <v>39</v>
      </c>
      <c r="B9" t="s">
        <v>51</v>
      </c>
      <c r="C9" t="s">
        <v>50</v>
      </c>
      <c r="D9" t="s">
        <v>42</v>
      </c>
      <c r="E9">
        <v>731</v>
      </c>
      <c r="F9">
        <v>105188</v>
      </c>
      <c r="G9">
        <v>81461</v>
      </c>
      <c r="H9">
        <v>143.9</v>
      </c>
      <c r="I9">
        <v>113.02</v>
      </c>
      <c r="J9">
        <v>0.78549999999999998</v>
      </c>
      <c r="K9">
        <v>148.86000000000001</v>
      </c>
      <c r="L9">
        <v>113.33</v>
      </c>
      <c r="M9">
        <v>290.87</v>
      </c>
      <c r="N9">
        <v>6.32</v>
      </c>
      <c r="O9">
        <v>3.56</v>
      </c>
      <c r="P9">
        <v>11.9</v>
      </c>
      <c r="Q9">
        <v>0</v>
      </c>
      <c r="R9">
        <v>100</v>
      </c>
      <c r="S9">
        <v>5.7700000000000001E-2</v>
      </c>
      <c r="T9">
        <v>3.4500000000000003E-2</v>
      </c>
      <c r="U9">
        <v>163.38</v>
      </c>
      <c r="V9">
        <v>14085.25</v>
      </c>
      <c r="W9">
        <v>731</v>
      </c>
      <c r="X9">
        <v>111.44</v>
      </c>
      <c r="Y9">
        <v>50.33</v>
      </c>
      <c r="Z9">
        <v>1</v>
      </c>
      <c r="AA9">
        <v>0</v>
      </c>
      <c r="AB9" t="s">
        <v>35</v>
      </c>
      <c r="AC9" t="s">
        <v>36</v>
      </c>
      <c r="AD9" t="s">
        <v>37</v>
      </c>
      <c r="AE9" t="s">
        <v>38</v>
      </c>
    </row>
    <row r="10" spans="1:31" x14ac:dyDescent="0.3">
      <c r="A10" t="s">
        <v>52</v>
      </c>
      <c r="B10" t="s">
        <v>53</v>
      </c>
      <c r="C10" t="s">
        <v>41</v>
      </c>
      <c r="D10" t="s">
        <v>54</v>
      </c>
      <c r="E10">
        <v>731</v>
      </c>
      <c r="F10">
        <v>104777</v>
      </c>
      <c r="G10">
        <v>80588</v>
      </c>
      <c r="H10">
        <v>143.33000000000001</v>
      </c>
      <c r="I10">
        <v>107.7</v>
      </c>
      <c r="J10">
        <v>0.75139999999999996</v>
      </c>
      <c r="K10">
        <v>148.06</v>
      </c>
      <c r="L10">
        <v>107.88</v>
      </c>
      <c r="M10">
        <v>280.27</v>
      </c>
      <c r="N10">
        <v>4.67</v>
      </c>
      <c r="O10">
        <v>2.74</v>
      </c>
      <c r="P10">
        <v>9.7100000000000009</v>
      </c>
      <c r="Q10">
        <v>0</v>
      </c>
      <c r="R10">
        <v>100</v>
      </c>
      <c r="S10">
        <v>5.6500000000000002E-2</v>
      </c>
      <c r="T10">
        <v>3.3000000000000002E-2</v>
      </c>
      <c r="U10">
        <v>105.45</v>
      </c>
      <c r="V10">
        <v>10500.37</v>
      </c>
      <c r="W10">
        <v>731</v>
      </c>
      <c r="X10">
        <v>110.24</v>
      </c>
      <c r="Y10">
        <v>52.68</v>
      </c>
      <c r="Z10">
        <v>1</v>
      </c>
      <c r="AA10">
        <v>0</v>
      </c>
      <c r="AB10" t="s">
        <v>35</v>
      </c>
      <c r="AC10" t="s">
        <v>36</v>
      </c>
      <c r="AD10" t="s">
        <v>37</v>
      </c>
      <c r="AE10" t="s">
        <v>38</v>
      </c>
    </row>
    <row r="11" spans="1:31" x14ac:dyDescent="0.3">
      <c r="A11" t="s">
        <v>39</v>
      </c>
      <c r="B11" t="s">
        <v>55</v>
      </c>
      <c r="C11" t="s">
        <v>56</v>
      </c>
      <c r="D11" t="s">
        <v>42</v>
      </c>
      <c r="E11">
        <v>731</v>
      </c>
      <c r="F11">
        <v>104566</v>
      </c>
      <c r="G11">
        <v>79597</v>
      </c>
      <c r="H11">
        <v>143.05000000000001</v>
      </c>
      <c r="I11">
        <v>107.78</v>
      </c>
      <c r="J11">
        <v>0.75339999999999996</v>
      </c>
      <c r="K11">
        <v>148.37</v>
      </c>
      <c r="L11">
        <v>108.74</v>
      </c>
      <c r="M11">
        <v>277.14999999999998</v>
      </c>
      <c r="N11">
        <v>6.96</v>
      </c>
      <c r="O11">
        <v>3.56</v>
      </c>
      <c r="P11">
        <v>10.4</v>
      </c>
      <c r="Q11">
        <v>0</v>
      </c>
      <c r="R11">
        <v>100</v>
      </c>
      <c r="S11">
        <v>5.9900000000000002E-2</v>
      </c>
      <c r="T11">
        <v>3.7199999999999997E-2</v>
      </c>
      <c r="U11">
        <v>148.24</v>
      </c>
      <c r="V11">
        <v>11578.25</v>
      </c>
      <c r="W11">
        <v>731</v>
      </c>
      <c r="X11">
        <v>108.89</v>
      </c>
      <c r="Y11">
        <v>53.16</v>
      </c>
      <c r="Z11">
        <v>1</v>
      </c>
      <c r="AA11">
        <v>0</v>
      </c>
      <c r="AB11" t="s">
        <v>35</v>
      </c>
      <c r="AC11" t="s">
        <v>36</v>
      </c>
      <c r="AD11" t="s">
        <v>37</v>
      </c>
      <c r="AE11" t="s">
        <v>38</v>
      </c>
    </row>
    <row r="12" spans="1:31" x14ac:dyDescent="0.3">
      <c r="A12" t="s">
        <v>39</v>
      </c>
      <c r="B12" t="s">
        <v>57</v>
      </c>
      <c r="C12" t="s">
        <v>56</v>
      </c>
      <c r="D12" t="s">
        <v>42</v>
      </c>
      <c r="E12">
        <v>731</v>
      </c>
      <c r="F12">
        <v>104524</v>
      </c>
      <c r="G12">
        <v>79712</v>
      </c>
      <c r="H12">
        <v>142.99</v>
      </c>
      <c r="I12">
        <v>111.2</v>
      </c>
      <c r="J12">
        <v>0.77769999999999995</v>
      </c>
      <c r="K12">
        <v>148.69</v>
      </c>
      <c r="L12">
        <v>111.56</v>
      </c>
      <c r="M12">
        <v>277.97000000000003</v>
      </c>
      <c r="N12">
        <v>5.08</v>
      </c>
      <c r="O12">
        <v>4.24</v>
      </c>
      <c r="P12">
        <v>10.94</v>
      </c>
      <c r="Q12">
        <v>0</v>
      </c>
      <c r="R12">
        <v>100</v>
      </c>
      <c r="S12">
        <v>6.13E-2</v>
      </c>
      <c r="T12">
        <v>3.9899999999999998E-2</v>
      </c>
      <c r="U12">
        <v>232.62</v>
      </c>
      <c r="V12">
        <v>10534.34</v>
      </c>
      <c r="W12">
        <v>731</v>
      </c>
      <c r="X12">
        <v>109.05</v>
      </c>
      <c r="Y12">
        <v>52.6</v>
      </c>
      <c r="Z12">
        <v>1</v>
      </c>
      <c r="AA12">
        <v>0</v>
      </c>
      <c r="AB12" t="s">
        <v>35</v>
      </c>
      <c r="AC12" t="s">
        <v>36</v>
      </c>
      <c r="AD12" t="s">
        <v>37</v>
      </c>
      <c r="AE12" t="s">
        <v>38</v>
      </c>
    </row>
    <row r="13" spans="1:31" x14ac:dyDescent="0.3">
      <c r="A13" t="s">
        <v>39</v>
      </c>
      <c r="B13" t="s">
        <v>58</v>
      </c>
      <c r="C13" t="s">
        <v>33</v>
      </c>
      <c r="D13" t="s">
        <v>42</v>
      </c>
      <c r="E13">
        <v>731</v>
      </c>
      <c r="F13">
        <v>104350</v>
      </c>
      <c r="G13">
        <v>79658</v>
      </c>
      <c r="H13">
        <v>142.75</v>
      </c>
      <c r="I13">
        <v>111.97</v>
      </c>
      <c r="J13">
        <v>0.78439999999999999</v>
      </c>
      <c r="K13">
        <v>147.74</v>
      </c>
      <c r="L13">
        <v>112.85</v>
      </c>
      <c r="M13">
        <v>282.27999999999997</v>
      </c>
      <c r="N13">
        <v>9.42</v>
      </c>
      <c r="O13">
        <v>3.28</v>
      </c>
      <c r="P13">
        <v>10.53</v>
      </c>
      <c r="Q13">
        <v>0</v>
      </c>
      <c r="R13">
        <v>100</v>
      </c>
      <c r="S13">
        <v>5.6899999999999999E-2</v>
      </c>
      <c r="T13">
        <v>3.5000000000000003E-2</v>
      </c>
      <c r="U13">
        <v>166.32</v>
      </c>
      <c r="V13">
        <v>12208.35</v>
      </c>
      <c r="W13">
        <v>731</v>
      </c>
      <c r="X13">
        <v>108.97</v>
      </c>
      <c r="Y13">
        <v>51.29</v>
      </c>
      <c r="Z13">
        <v>1</v>
      </c>
      <c r="AA13">
        <v>0</v>
      </c>
      <c r="AB13" t="s">
        <v>47</v>
      </c>
      <c r="AC13" t="s">
        <v>36</v>
      </c>
      <c r="AD13" t="s">
        <v>37</v>
      </c>
      <c r="AE13" t="s">
        <v>38</v>
      </c>
    </row>
    <row r="14" spans="1:31" x14ac:dyDescent="0.3">
      <c r="A14" t="s">
        <v>52</v>
      </c>
      <c r="B14" t="s">
        <v>51</v>
      </c>
      <c r="C14" t="s">
        <v>50</v>
      </c>
      <c r="D14" t="s">
        <v>54</v>
      </c>
      <c r="E14">
        <v>731</v>
      </c>
      <c r="F14">
        <v>103904</v>
      </c>
      <c r="G14">
        <v>81191</v>
      </c>
      <c r="H14">
        <v>142.13999999999999</v>
      </c>
      <c r="I14">
        <v>111</v>
      </c>
      <c r="J14">
        <v>0.78090000000000004</v>
      </c>
      <c r="K14">
        <v>146.94999999999999</v>
      </c>
      <c r="L14">
        <v>110.76</v>
      </c>
      <c r="M14">
        <v>282.35000000000002</v>
      </c>
      <c r="N14">
        <v>6.62</v>
      </c>
      <c r="O14">
        <v>2.74</v>
      </c>
      <c r="P14">
        <v>11.08</v>
      </c>
      <c r="Q14">
        <v>0</v>
      </c>
      <c r="R14">
        <v>100</v>
      </c>
      <c r="S14">
        <v>5.6899999999999999E-2</v>
      </c>
      <c r="T14">
        <v>3.3799999999999997E-2</v>
      </c>
      <c r="U14">
        <v>158.1</v>
      </c>
      <c r="V14">
        <v>11526.27</v>
      </c>
      <c r="W14">
        <v>731</v>
      </c>
      <c r="X14">
        <v>111.07</v>
      </c>
      <c r="Y14">
        <v>52</v>
      </c>
      <c r="Z14">
        <v>1</v>
      </c>
      <c r="AA14">
        <v>0</v>
      </c>
      <c r="AB14" t="s">
        <v>35</v>
      </c>
      <c r="AC14" t="s">
        <v>36</v>
      </c>
      <c r="AD14" t="s">
        <v>37</v>
      </c>
      <c r="AE14" t="s">
        <v>38</v>
      </c>
    </row>
    <row r="15" spans="1:31" x14ac:dyDescent="0.3">
      <c r="A15" t="s">
        <v>31</v>
      </c>
      <c r="B15" t="s">
        <v>46</v>
      </c>
      <c r="C15" t="s">
        <v>41</v>
      </c>
      <c r="D15" t="s">
        <v>34</v>
      </c>
      <c r="E15">
        <v>731</v>
      </c>
      <c r="F15">
        <v>103703</v>
      </c>
      <c r="G15">
        <v>80952</v>
      </c>
      <c r="H15">
        <v>141.86000000000001</v>
      </c>
      <c r="I15">
        <v>105.77</v>
      </c>
      <c r="J15">
        <v>0.74560000000000004</v>
      </c>
      <c r="K15">
        <v>146.6</v>
      </c>
      <c r="L15">
        <v>105.97</v>
      </c>
      <c r="M15">
        <v>276.77999999999997</v>
      </c>
      <c r="N15">
        <v>3.52</v>
      </c>
      <c r="O15">
        <v>3.97</v>
      </c>
      <c r="P15">
        <v>8.07</v>
      </c>
      <c r="Q15">
        <v>0</v>
      </c>
      <c r="R15">
        <v>100</v>
      </c>
      <c r="S15">
        <v>5.6800000000000003E-2</v>
      </c>
      <c r="T15">
        <v>3.3399999999999999E-2</v>
      </c>
      <c r="U15">
        <v>208.87</v>
      </c>
      <c r="V15">
        <v>8856.1</v>
      </c>
      <c r="W15">
        <v>731</v>
      </c>
      <c r="X15">
        <v>110.74</v>
      </c>
      <c r="Y15">
        <v>51.59</v>
      </c>
      <c r="Z15">
        <v>1</v>
      </c>
      <c r="AA15">
        <v>0</v>
      </c>
      <c r="AB15" t="s">
        <v>35</v>
      </c>
      <c r="AC15" t="s">
        <v>36</v>
      </c>
      <c r="AD15" t="s">
        <v>37</v>
      </c>
      <c r="AE15" t="s">
        <v>38</v>
      </c>
    </row>
    <row r="16" spans="1:31" x14ac:dyDescent="0.3">
      <c r="A16" t="s">
        <v>39</v>
      </c>
      <c r="B16" t="s">
        <v>53</v>
      </c>
      <c r="C16" t="s">
        <v>41</v>
      </c>
      <c r="D16" t="s">
        <v>42</v>
      </c>
      <c r="E16">
        <v>731</v>
      </c>
      <c r="F16">
        <v>103641</v>
      </c>
      <c r="G16">
        <v>81896</v>
      </c>
      <c r="H16">
        <v>141.78</v>
      </c>
      <c r="I16">
        <v>111.65</v>
      </c>
      <c r="J16">
        <v>0.78749999999999998</v>
      </c>
      <c r="K16">
        <v>146.32</v>
      </c>
      <c r="L16">
        <v>112.49</v>
      </c>
      <c r="M16">
        <v>277.99</v>
      </c>
      <c r="N16">
        <v>6.25</v>
      </c>
      <c r="O16">
        <v>4.51</v>
      </c>
      <c r="P16">
        <v>12.59</v>
      </c>
      <c r="Q16">
        <v>0</v>
      </c>
      <c r="R16">
        <v>100</v>
      </c>
      <c r="S16">
        <v>5.7700000000000001E-2</v>
      </c>
      <c r="T16">
        <v>3.2000000000000001E-2</v>
      </c>
      <c r="U16">
        <v>183.7</v>
      </c>
      <c r="V16">
        <v>13500.67</v>
      </c>
      <c r="W16">
        <v>731</v>
      </c>
      <c r="X16">
        <v>112.03</v>
      </c>
      <c r="Y16">
        <v>52.78</v>
      </c>
      <c r="Z16">
        <v>1</v>
      </c>
      <c r="AA16">
        <v>0</v>
      </c>
      <c r="AB16" t="s">
        <v>35</v>
      </c>
      <c r="AC16" t="s">
        <v>36</v>
      </c>
      <c r="AD16" t="s">
        <v>37</v>
      </c>
      <c r="AE16" t="s">
        <v>38</v>
      </c>
    </row>
    <row r="17" spans="1:31" x14ac:dyDescent="0.3">
      <c r="A17" t="s">
        <v>59</v>
      </c>
      <c r="B17" t="s">
        <v>45</v>
      </c>
      <c r="C17" t="s">
        <v>41</v>
      </c>
      <c r="D17" t="s">
        <v>34</v>
      </c>
      <c r="E17">
        <v>731</v>
      </c>
      <c r="F17">
        <v>103393</v>
      </c>
      <c r="G17">
        <v>83635</v>
      </c>
      <c r="H17">
        <v>141.44</v>
      </c>
      <c r="I17">
        <v>107.21</v>
      </c>
      <c r="J17">
        <v>0.75800000000000001</v>
      </c>
      <c r="K17">
        <v>146.57</v>
      </c>
      <c r="L17">
        <v>107.47</v>
      </c>
      <c r="M17">
        <v>274.54000000000002</v>
      </c>
      <c r="N17">
        <v>4.3899999999999997</v>
      </c>
      <c r="O17">
        <v>3.97</v>
      </c>
      <c r="P17">
        <v>10.4</v>
      </c>
      <c r="Q17">
        <v>0</v>
      </c>
      <c r="R17">
        <v>100</v>
      </c>
      <c r="S17">
        <v>5.8500000000000003E-2</v>
      </c>
      <c r="T17">
        <v>3.6200000000000003E-2</v>
      </c>
      <c r="U17">
        <v>171.26</v>
      </c>
      <c r="V17">
        <v>10491.14</v>
      </c>
      <c r="W17">
        <v>731</v>
      </c>
      <c r="X17">
        <v>114.41</v>
      </c>
      <c r="Y17">
        <v>54.63</v>
      </c>
      <c r="Z17">
        <v>1</v>
      </c>
      <c r="AA17">
        <v>0</v>
      </c>
      <c r="AB17" t="s">
        <v>35</v>
      </c>
      <c r="AC17" t="s">
        <v>36</v>
      </c>
      <c r="AD17" t="s">
        <v>37</v>
      </c>
      <c r="AE17" t="s">
        <v>38</v>
      </c>
    </row>
    <row r="18" spans="1:31" x14ac:dyDescent="0.3">
      <c r="A18" t="s">
        <v>52</v>
      </c>
      <c r="B18" t="s">
        <v>60</v>
      </c>
      <c r="C18" t="s">
        <v>41</v>
      </c>
      <c r="D18" t="s">
        <v>54</v>
      </c>
      <c r="E18">
        <v>731</v>
      </c>
      <c r="F18">
        <v>103147</v>
      </c>
      <c r="G18">
        <v>79770</v>
      </c>
      <c r="H18">
        <v>141.1</v>
      </c>
      <c r="I18">
        <v>108.44</v>
      </c>
      <c r="J18">
        <v>0.76849999999999996</v>
      </c>
      <c r="K18">
        <v>146.06</v>
      </c>
      <c r="L18">
        <v>108.51</v>
      </c>
      <c r="M18">
        <v>273.60000000000002</v>
      </c>
      <c r="N18">
        <v>4.53</v>
      </c>
      <c r="O18">
        <v>4.24</v>
      </c>
      <c r="P18">
        <v>8.34</v>
      </c>
      <c r="Q18">
        <v>0</v>
      </c>
      <c r="R18">
        <v>100</v>
      </c>
      <c r="S18">
        <v>5.91E-2</v>
      </c>
      <c r="T18">
        <v>3.5099999999999999E-2</v>
      </c>
      <c r="U18">
        <v>280.58999999999997</v>
      </c>
      <c r="V18">
        <v>9432.14</v>
      </c>
      <c r="W18">
        <v>731</v>
      </c>
      <c r="X18">
        <v>109.12</v>
      </c>
      <c r="Y18">
        <v>51.15</v>
      </c>
      <c r="Z18">
        <v>1</v>
      </c>
      <c r="AA18">
        <v>0</v>
      </c>
      <c r="AB18" t="s">
        <v>35</v>
      </c>
      <c r="AC18" t="s">
        <v>36</v>
      </c>
      <c r="AD18" t="s">
        <v>37</v>
      </c>
      <c r="AE18" t="s">
        <v>38</v>
      </c>
    </row>
    <row r="19" spans="1:31" x14ac:dyDescent="0.3">
      <c r="A19" t="s">
        <v>59</v>
      </c>
      <c r="B19" t="s">
        <v>61</v>
      </c>
      <c r="C19" t="s">
        <v>62</v>
      </c>
      <c r="D19" t="s">
        <v>34</v>
      </c>
      <c r="E19">
        <v>731</v>
      </c>
      <c r="F19">
        <v>103001</v>
      </c>
      <c r="G19">
        <v>78936</v>
      </c>
      <c r="H19">
        <v>140.9</v>
      </c>
      <c r="I19">
        <v>113.64</v>
      </c>
      <c r="J19">
        <v>0.80649999999999999</v>
      </c>
      <c r="K19">
        <v>146.07</v>
      </c>
      <c r="L19">
        <v>113.46</v>
      </c>
      <c r="M19">
        <v>275.91000000000003</v>
      </c>
      <c r="N19">
        <v>4.91</v>
      </c>
      <c r="O19">
        <v>3.83</v>
      </c>
      <c r="P19">
        <v>12.72</v>
      </c>
      <c r="Q19">
        <v>0</v>
      </c>
      <c r="R19">
        <v>100</v>
      </c>
      <c r="S19">
        <v>5.9499999999999997E-2</v>
      </c>
      <c r="T19">
        <v>3.6700000000000003E-2</v>
      </c>
      <c r="U19">
        <v>147.80000000000001</v>
      </c>
      <c r="V19">
        <v>13697.88</v>
      </c>
      <c r="W19">
        <v>731</v>
      </c>
      <c r="X19">
        <v>107.98</v>
      </c>
      <c r="Y19">
        <v>52.54</v>
      </c>
      <c r="Z19">
        <v>1</v>
      </c>
      <c r="AA19">
        <v>0</v>
      </c>
      <c r="AB19" t="s">
        <v>35</v>
      </c>
      <c r="AC19" t="s">
        <v>36</v>
      </c>
      <c r="AD19" t="s">
        <v>37</v>
      </c>
      <c r="AE19" t="s">
        <v>38</v>
      </c>
    </row>
    <row r="20" spans="1:31" x14ac:dyDescent="0.3">
      <c r="A20" t="s">
        <v>39</v>
      </c>
      <c r="B20" t="s">
        <v>48</v>
      </c>
      <c r="C20" t="s">
        <v>33</v>
      </c>
      <c r="D20" t="s">
        <v>42</v>
      </c>
      <c r="E20">
        <v>731</v>
      </c>
      <c r="F20">
        <v>102682</v>
      </c>
      <c r="G20">
        <v>80566</v>
      </c>
      <c r="H20">
        <v>140.47</v>
      </c>
      <c r="I20">
        <v>112.71</v>
      </c>
      <c r="J20">
        <v>0.8024</v>
      </c>
      <c r="K20">
        <v>145.57</v>
      </c>
      <c r="L20">
        <v>113.64</v>
      </c>
      <c r="M20">
        <v>280.16000000000003</v>
      </c>
      <c r="N20">
        <v>4.5599999999999996</v>
      </c>
      <c r="O20">
        <v>3.83</v>
      </c>
      <c r="P20">
        <v>11.63</v>
      </c>
      <c r="Q20">
        <v>0</v>
      </c>
      <c r="R20">
        <v>100</v>
      </c>
      <c r="S20">
        <v>5.79E-2</v>
      </c>
      <c r="T20">
        <v>3.6299999999999999E-2</v>
      </c>
      <c r="U20">
        <v>217.02</v>
      </c>
      <c r="V20">
        <v>12483.16</v>
      </c>
      <c r="W20">
        <v>731</v>
      </c>
      <c r="X20">
        <v>110.21</v>
      </c>
      <c r="Y20">
        <v>52.66</v>
      </c>
      <c r="Z20">
        <v>1</v>
      </c>
      <c r="AA20">
        <v>0</v>
      </c>
      <c r="AB20" t="s">
        <v>35</v>
      </c>
      <c r="AC20" t="s">
        <v>36</v>
      </c>
      <c r="AD20" t="s">
        <v>37</v>
      </c>
      <c r="AE20" t="s">
        <v>38</v>
      </c>
    </row>
    <row r="21" spans="1:31" x14ac:dyDescent="0.3">
      <c r="A21" t="s">
        <v>43</v>
      </c>
      <c r="B21" t="s">
        <v>63</v>
      </c>
      <c r="C21" t="s">
        <v>56</v>
      </c>
      <c r="D21" t="s">
        <v>34</v>
      </c>
      <c r="E21">
        <v>731</v>
      </c>
      <c r="F21">
        <v>102528</v>
      </c>
      <c r="G21">
        <v>81020</v>
      </c>
      <c r="H21">
        <v>140.26</v>
      </c>
      <c r="I21">
        <v>111.78</v>
      </c>
      <c r="J21">
        <v>0.79700000000000004</v>
      </c>
      <c r="K21">
        <v>145.38999999999999</v>
      </c>
      <c r="L21">
        <v>111.98</v>
      </c>
      <c r="M21">
        <v>271.63</v>
      </c>
      <c r="N21">
        <v>4.8</v>
      </c>
      <c r="O21">
        <v>3.01</v>
      </c>
      <c r="P21">
        <v>9.17</v>
      </c>
      <c r="Q21">
        <v>0</v>
      </c>
      <c r="R21">
        <v>100</v>
      </c>
      <c r="S21">
        <v>5.9900000000000002E-2</v>
      </c>
      <c r="T21">
        <v>3.6600000000000001E-2</v>
      </c>
      <c r="U21">
        <v>188.54</v>
      </c>
      <c r="V21">
        <v>10025.16</v>
      </c>
      <c r="W21">
        <v>731</v>
      </c>
      <c r="X21">
        <v>110.83</v>
      </c>
      <c r="Y21">
        <v>52.41</v>
      </c>
      <c r="Z21">
        <v>1</v>
      </c>
      <c r="AA21">
        <v>0</v>
      </c>
      <c r="AB21" t="s">
        <v>35</v>
      </c>
      <c r="AC21" t="s">
        <v>36</v>
      </c>
      <c r="AD21" t="s">
        <v>37</v>
      </c>
      <c r="AE21" t="s">
        <v>38</v>
      </c>
    </row>
    <row r="22" spans="1:31" x14ac:dyDescent="0.3">
      <c r="A22" t="s">
        <v>43</v>
      </c>
      <c r="B22" t="s">
        <v>64</v>
      </c>
      <c r="C22" t="s">
        <v>62</v>
      </c>
      <c r="D22" t="s">
        <v>34</v>
      </c>
      <c r="E22">
        <v>731</v>
      </c>
      <c r="F22">
        <v>102482</v>
      </c>
      <c r="G22">
        <v>80004</v>
      </c>
      <c r="H22">
        <v>140.19</v>
      </c>
      <c r="I22">
        <v>111.49</v>
      </c>
      <c r="J22">
        <v>0.79520000000000002</v>
      </c>
      <c r="K22">
        <v>145.01</v>
      </c>
      <c r="L22">
        <v>111.97</v>
      </c>
      <c r="M22">
        <v>272.02999999999997</v>
      </c>
      <c r="N22">
        <v>4.13</v>
      </c>
      <c r="O22">
        <v>3.97</v>
      </c>
      <c r="P22">
        <v>12.18</v>
      </c>
      <c r="Q22">
        <v>0</v>
      </c>
      <c r="R22">
        <v>100</v>
      </c>
      <c r="S22">
        <v>5.7799999999999997E-2</v>
      </c>
      <c r="T22">
        <v>3.44E-2</v>
      </c>
      <c r="U22">
        <v>179.85</v>
      </c>
      <c r="V22">
        <v>11634.2</v>
      </c>
      <c r="W22">
        <v>731</v>
      </c>
      <c r="X22">
        <v>109.44</v>
      </c>
      <c r="Y22">
        <v>52.82</v>
      </c>
      <c r="Z22">
        <v>1</v>
      </c>
      <c r="AA22">
        <v>0</v>
      </c>
      <c r="AB22" t="s">
        <v>35</v>
      </c>
      <c r="AC22" t="s">
        <v>36</v>
      </c>
      <c r="AD22" t="s">
        <v>37</v>
      </c>
      <c r="AE22" t="s">
        <v>38</v>
      </c>
    </row>
    <row r="23" spans="1:31" x14ac:dyDescent="0.3">
      <c r="A23" t="s">
        <v>39</v>
      </c>
      <c r="B23" t="s">
        <v>60</v>
      </c>
      <c r="C23" t="s">
        <v>41</v>
      </c>
      <c r="D23" t="s">
        <v>42</v>
      </c>
      <c r="E23">
        <v>731</v>
      </c>
      <c r="F23">
        <v>102173</v>
      </c>
      <c r="G23">
        <v>78454</v>
      </c>
      <c r="H23">
        <v>139.77000000000001</v>
      </c>
      <c r="I23">
        <v>114.1</v>
      </c>
      <c r="J23">
        <v>0.81630000000000003</v>
      </c>
      <c r="K23">
        <v>144.69999999999999</v>
      </c>
      <c r="L23">
        <v>114.27</v>
      </c>
      <c r="M23">
        <v>277.82</v>
      </c>
      <c r="N23">
        <v>7.08</v>
      </c>
      <c r="O23">
        <v>3.56</v>
      </c>
      <c r="P23">
        <v>11.63</v>
      </c>
      <c r="Q23">
        <v>0</v>
      </c>
      <c r="R23">
        <v>100</v>
      </c>
      <c r="S23">
        <v>5.7599999999999998E-2</v>
      </c>
      <c r="T23">
        <v>3.5299999999999998E-2</v>
      </c>
      <c r="U23">
        <v>200.99</v>
      </c>
      <c r="V23">
        <v>12309.92</v>
      </c>
      <c r="W23">
        <v>731</v>
      </c>
      <c r="X23">
        <v>107.32</v>
      </c>
      <c r="Y23">
        <v>52.13</v>
      </c>
      <c r="Z23">
        <v>1</v>
      </c>
      <c r="AA23">
        <v>0</v>
      </c>
      <c r="AB23" t="s">
        <v>47</v>
      </c>
      <c r="AC23" t="s">
        <v>36</v>
      </c>
      <c r="AD23" t="s">
        <v>37</v>
      </c>
      <c r="AE23" t="s">
        <v>38</v>
      </c>
    </row>
    <row r="24" spans="1:31" x14ac:dyDescent="0.3">
      <c r="A24" t="s">
        <v>52</v>
      </c>
      <c r="B24" t="s">
        <v>65</v>
      </c>
      <c r="C24" t="s">
        <v>62</v>
      </c>
      <c r="D24" t="s">
        <v>54</v>
      </c>
      <c r="E24">
        <v>731</v>
      </c>
      <c r="F24">
        <v>102149</v>
      </c>
      <c r="G24">
        <v>78526</v>
      </c>
      <c r="H24">
        <v>139.74</v>
      </c>
      <c r="I24">
        <v>106.62</v>
      </c>
      <c r="J24">
        <v>0.76300000000000001</v>
      </c>
      <c r="K24">
        <v>144.87</v>
      </c>
      <c r="L24">
        <v>106.5</v>
      </c>
      <c r="M24">
        <v>271.73</v>
      </c>
      <c r="N24">
        <v>6.71</v>
      </c>
      <c r="O24">
        <v>3.42</v>
      </c>
      <c r="P24">
        <v>9.85</v>
      </c>
      <c r="Q24">
        <v>0</v>
      </c>
      <c r="R24">
        <v>100</v>
      </c>
      <c r="S24">
        <v>6.0499999999999998E-2</v>
      </c>
      <c r="T24">
        <v>3.6700000000000003E-2</v>
      </c>
      <c r="U24">
        <v>166.42</v>
      </c>
      <c r="V24">
        <v>9790.9599999999991</v>
      </c>
      <c r="W24">
        <v>731</v>
      </c>
      <c r="X24">
        <v>107.42</v>
      </c>
      <c r="Y24">
        <v>55.25</v>
      </c>
      <c r="Z24">
        <v>1</v>
      </c>
      <c r="AA24">
        <v>0</v>
      </c>
      <c r="AB24" t="s">
        <v>35</v>
      </c>
      <c r="AC24" t="s">
        <v>36</v>
      </c>
      <c r="AD24" t="s">
        <v>37</v>
      </c>
      <c r="AE24" t="s">
        <v>38</v>
      </c>
    </row>
    <row r="25" spans="1:31" x14ac:dyDescent="0.3">
      <c r="A25" t="s">
        <v>31</v>
      </c>
      <c r="B25" t="s">
        <v>40</v>
      </c>
      <c r="C25" t="s">
        <v>41</v>
      </c>
      <c r="D25" t="s">
        <v>34</v>
      </c>
      <c r="E25">
        <v>731</v>
      </c>
      <c r="F25">
        <v>101844</v>
      </c>
      <c r="G25">
        <v>81039</v>
      </c>
      <c r="H25">
        <v>139.32</v>
      </c>
      <c r="I25">
        <v>107.31</v>
      </c>
      <c r="J25">
        <v>0.77029999999999998</v>
      </c>
      <c r="K25">
        <v>144.62</v>
      </c>
      <c r="L25">
        <v>107.77</v>
      </c>
      <c r="M25">
        <v>283.81</v>
      </c>
      <c r="N25">
        <v>6.55</v>
      </c>
      <c r="O25">
        <v>4.92</v>
      </c>
      <c r="P25">
        <v>10.94</v>
      </c>
      <c r="Q25">
        <v>0</v>
      </c>
      <c r="R25">
        <v>100</v>
      </c>
      <c r="S25">
        <v>6.0699999999999997E-2</v>
      </c>
      <c r="T25">
        <v>3.8100000000000002E-2</v>
      </c>
      <c r="U25">
        <v>209.46</v>
      </c>
      <c r="V25">
        <v>11966.4</v>
      </c>
      <c r="W25">
        <v>731</v>
      </c>
      <c r="X25">
        <v>110.86</v>
      </c>
      <c r="Y25">
        <v>52.02</v>
      </c>
      <c r="Z25">
        <v>1</v>
      </c>
      <c r="AA25">
        <v>0</v>
      </c>
      <c r="AB25" t="s">
        <v>35</v>
      </c>
      <c r="AC25" t="s">
        <v>36</v>
      </c>
      <c r="AD25" t="s">
        <v>37</v>
      </c>
      <c r="AE25" t="s">
        <v>38</v>
      </c>
    </row>
    <row r="26" spans="1:31" x14ac:dyDescent="0.3">
      <c r="A26" t="s">
        <v>31</v>
      </c>
      <c r="B26" t="s">
        <v>53</v>
      </c>
      <c r="C26" t="s">
        <v>41</v>
      </c>
      <c r="D26" t="s">
        <v>34</v>
      </c>
      <c r="E26">
        <v>731</v>
      </c>
      <c r="F26">
        <v>101821</v>
      </c>
      <c r="G26">
        <v>79637</v>
      </c>
      <c r="H26">
        <v>139.29</v>
      </c>
      <c r="I26">
        <v>111.58</v>
      </c>
      <c r="J26">
        <v>0.80100000000000005</v>
      </c>
      <c r="K26">
        <v>144.44</v>
      </c>
      <c r="L26">
        <v>112.14</v>
      </c>
      <c r="M26">
        <v>278.39999999999998</v>
      </c>
      <c r="N26">
        <v>5.93</v>
      </c>
      <c r="O26">
        <v>3.56</v>
      </c>
      <c r="P26">
        <v>12.31</v>
      </c>
      <c r="Q26">
        <v>0</v>
      </c>
      <c r="R26">
        <v>100</v>
      </c>
      <c r="S26">
        <v>5.8700000000000002E-2</v>
      </c>
      <c r="T26">
        <v>3.6999999999999998E-2</v>
      </c>
      <c r="U26">
        <v>132.63999999999999</v>
      </c>
      <c r="V26">
        <v>11079.31</v>
      </c>
      <c r="W26">
        <v>731</v>
      </c>
      <c r="X26">
        <v>108.94</v>
      </c>
      <c r="Y26">
        <v>52.78</v>
      </c>
      <c r="Z26">
        <v>1</v>
      </c>
      <c r="AA26">
        <v>0</v>
      </c>
      <c r="AB26" t="s">
        <v>35</v>
      </c>
      <c r="AC26" t="s">
        <v>36</v>
      </c>
      <c r="AD26" t="s">
        <v>37</v>
      </c>
      <c r="AE26" t="s">
        <v>38</v>
      </c>
    </row>
    <row r="27" spans="1:31" x14ac:dyDescent="0.3">
      <c r="A27" t="s">
        <v>59</v>
      </c>
      <c r="B27" t="s">
        <v>64</v>
      </c>
      <c r="C27" t="s">
        <v>62</v>
      </c>
      <c r="D27" t="s">
        <v>34</v>
      </c>
      <c r="E27">
        <v>731</v>
      </c>
      <c r="F27">
        <v>101475</v>
      </c>
      <c r="G27">
        <v>79026</v>
      </c>
      <c r="H27">
        <v>138.82</v>
      </c>
      <c r="I27">
        <v>109.1</v>
      </c>
      <c r="J27">
        <v>0.78590000000000004</v>
      </c>
      <c r="K27">
        <v>144.44</v>
      </c>
      <c r="L27">
        <v>109.57</v>
      </c>
      <c r="M27">
        <v>282.55</v>
      </c>
      <c r="N27">
        <v>5.1100000000000003</v>
      </c>
      <c r="O27">
        <v>2.33</v>
      </c>
      <c r="P27">
        <v>11.63</v>
      </c>
      <c r="Q27">
        <v>0</v>
      </c>
      <c r="R27">
        <v>100</v>
      </c>
      <c r="S27">
        <v>6.3200000000000006E-2</v>
      </c>
      <c r="T27">
        <v>4.0500000000000001E-2</v>
      </c>
      <c r="U27">
        <v>129.44</v>
      </c>
      <c r="V27">
        <v>13149.08</v>
      </c>
      <c r="W27">
        <v>731</v>
      </c>
      <c r="X27">
        <v>108.11</v>
      </c>
      <c r="Y27">
        <v>52.15</v>
      </c>
      <c r="Z27">
        <v>1</v>
      </c>
      <c r="AA27">
        <v>0</v>
      </c>
      <c r="AB27" t="s">
        <v>35</v>
      </c>
      <c r="AC27" t="s">
        <v>36</v>
      </c>
      <c r="AD27" t="s">
        <v>37</v>
      </c>
      <c r="AE27" t="s">
        <v>38</v>
      </c>
    </row>
    <row r="28" spans="1:31" x14ac:dyDescent="0.3">
      <c r="A28" t="s">
        <v>39</v>
      </c>
      <c r="B28" t="s">
        <v>66</v>
      </c>
      <c r="C28" t="s">
        <v>62</v>
      </c>
      <c r="D28" t="s">
        <v>42</v>
      </c>
      <c r="E28">
        <v>731</v>
      </c>
      <c r="F28">
        <v>101464</v>
      </c>
      <c r="G28">
        <v>79438</v>
      </c>
      <c r="H28">
        <v>138.80000000000001</v>
      </c>
      <c r="I28">
        <v>110.79</v>
      </c>
      <c r="J28">
        <v>0.79820000000000002</v>
      </c>
      <c r="K28">
        <v>143.78</v>
      </c>
      <c r="L28">
        <v>111.18</v>
      </c>
      <c r="M28">
        <v>279.98</v>
      </c>
      <c r="N28">
        <v>6.77</v>
      </c>
      <c r="O28">
        <v>3.97</v>
      </c>
      <c r="P28">
        <v>11.22</v>
      </c>
      <c r="Q28">
        <v>0</v>
      </c>
      <c r="R28">
        <v>100</v>
      </c>
      <c r="S28">
        <v>5.9900000000000002E-2</v>
      </c>
      <c r="T28">
        <v>3.5900000000000001E-2</v>
      </c>
      <c r="U28">
        <v>126.17</v>
      </c>
      <c r="V28">
        <v>12935.33</v>
      </c>
      <c r="W28">
        <v>731</v>
      </c>
      <c r="X28">
        <v>108.67</v>
      </c>
      <c r="Y28">
        <v>52.05</v>
      </c>
      <c r="Z28">
        <v>1</v>
      </c>
      <c r="AA28">
        <v>0</v>
      </c>
      <c r="AB28" t="s">
        <v>35</v>
      </c>
      <c r="AC28" t="s">
        <v>36</v>
      </c>
      <c r="AD28" t="s">
        <v>37</v>
      </c>
      <c r="AE28" t="s">
        <v>38</v>
      </c>
    </row>
    <row r="29" spans="1:31" x14ac:dyDescent="0.3">
      <c r="A29" t="s">
        <v>39</v>
      </c>
      <c r="B29" t="s">
        <v>65</v>
      </c>
      <c r="C29" t="s">
        <v>62</v>
      </c>
      <c r="D29" t="s">
        <v>42</v>
      </c>
      <c r="E29">
        <v>731</v>
      </c>
      <c r="F29">
        <v>101392</v>
      </c>
      <c r="G29">
        <v>79167</v>
      </c>
      <c r="H29">
        <v>138.69999999999999</v>
      </c>
      <c r="I29">
        <v>108.62</v>
      </c>
      <c r="J29">
        <v>0.78310000000000002</v>
      </c>
      <c r="K29">
        <v>143.93</v>
      </c>
      <c r="L29">
        <v>108.84</v>
      </c>
      <c r="M29">
        <v>274.63</v>
      </c>
      <c r="N29">
        <v>9.18</v>
      </c>
      <c r="O29">
        <v>2.74</v>
      </c>
      <c r="P29">
        <v>10.81</v>
      </c>
      <c r="Q29">
        <v>0</v>
      </c>
      <c r="R29">
        <v>100</v>
      </c>
      <c r="S29">
        <v>6.1199999999999997E-2</v>
      </c>
      <c r="T29">
        <v>3.7699999999999997E-2</v>
      </c>
      <c r="U29">
        <v>160.77000000000001</v>
      </c>
      <c r="V29">
        <v>11221.12</v>
      </c>
      <c r="W29">
        <v>731</v>
      </c>
      <c r="X29">
        <v>108.3</v>
      </c>
      <c r="Y29">
        <v>51.08</v>
      </c>
      <c r="Z29">
        <v>1</v>
      </c>
      <c r="AA29">
        <v>0</v>
      </c>
      <c r="AB29" t="s">
        <v>47</v>
      </c>
      <c r="AC29" t="s">
        <v>36</v>
      </c>
      <c r="AD29" t="s">
        <v>37</v>
      </c>
      <c r="AE29" t="s">
        <v>38</v>
      </c>
    </row>
    <row r="30" spans="1:31" x14ac:dyDescent="0.3">
      <c r="A30" t="s">
        <v>31</v>
      </c>
      <c r="B30" t="s">
        <v>49</v>
      </c>
      <c r="C30" t="s">
        <v>50</v>
      </c>
      <c r="D30" t="s">
        <v>34</v>
      </c>
      <c r="E30">
        <v>731</v>
      </c>
      <c r="F30">
        <v>101370</v>
      </c>
      <c r="G30">
        <v>81152</v>
      </c>
      <c r="H30">
        <v>138.66999999999999</v>
      </c>
      <c r="I30">
        <v>111.14</v>
      </c>
      <c r="J30">
        <v>0.80149999999999999</v>
      </c>
      <c r="K30">
        <v>143.31</v>
      </c>
      <c r="L30">
        <v>111</v>
      </c>
      <c r="M30">
        <v>283.89999999999998</v>
      </c>
      <c r="N30">
        <v>5.63</v>
      </c>
      <c r="O30">
        <v>2.6</v>
      </c>
      <c r="P30">
        <v>11.35</v>
      </c>
      <c r="Q30">
        <v>0</v>
      </c>
      <c r="R30">
        <v>100</v>
      </c>
      <c r="S30">
        <v>5.8999999999999997E-2</v>
      </c>
      <c r="T30">
        <v>3.3399999999999999E-2</v>
      </c>
      <c r="U30">
        <v>165.44</v>
      </c>
      <c r="V30">
        <v>12368.72</v>
      </c>
      <c r="W30">
        <v>731</v>
      </c>
      <c r="X30">
        <v>111.02</v>
      </c>
      <c r="Y30">
        <v>53.05</v>
      </c>
      <c r="Z30">
        <v>1</v>
      </c>
      <c r="AA30">
        <v>0</v>
      </c>
      <c r="AB30" t="s">
        <v>35</v>
      </c>
      <c r="AC30" t="s">
        <v>36</v>
      </c>
      <c r="AD30" t="s">
        <v>37</v>
      </c>
      <c r="AE30" t="s">
        <v>38</v>
      </c>
    </row>
    <row r="31" spans="1:31" x14ac:dyDescent="0.3">
      <c r="A31" t="s">
        <v>52</v>
      </c>
      <c r="B31" t="s">
        <v>44</v>
      </c>
      <c r="C31" t="s">
        <v>41</v>
      </c>
      <c r="D31" t="s">
        <v>54</v>
      </c>
      <c r="E31">
        <v>731</v>
      </c>
      <c r="F31">
        <v>101270</v>
      </c>
      <c r="G31">
        <v>83870</v>
      </c>
      <c r="H31">
        <v>138.54</v>
      </c>
      <c r="I31">
        <v>110.97</v>
      </c>
      <c r="J31">
        <v>0.80100000000000005</v>
      </c>
      <c r="K31">
        <v>143.83000000000001</v>
      </c>
      <c r="L31">
        <v>110.95</v>
      </c>
      <c r="M31">
        <v>270.79000000000002</v>
      </c>
      <c r="N31">
        <v>4.8899999999999997</v>
      </c>
      <c r="O31">
        <v>4.0999999999999996</v>
      </c>
      <c r="P31">
        <v>10.67</v>
      </c>
      <c r="Q31">
        <v>0</v>
      </c>
      <c r="R31">
        <v>100</v>
      </c>
      <c r="S31">
        <v>6.0299999999999999E-2</v>
      </c>
      <c r="T31">
        <v>3.8199999999999998E-2</v>
      </c>
      <c r="U31">
        <v>200.64</v>
      </c>
      <c r="V31">
        <v>10646.02</v>
      </c>
      <c r="W31">
        <v>731</v>
      </c>
      <c r="X31">
        <v>114.73</v>
      </c>
      <c r="Y31">
        <v>52.58</v>
      </c>
      <c r="Z31">
        <v>1</v>
      </c>
      <c r="AA31">
        <v>0</v>
      </c>
      <c r="AB31" t="s">
        <v>35</v>
      </c>
      <c r="AC31" t="s">
        <v>36</v>
      </c>
      <c r="AD31" t="s">
        <v>37</v>
      </c>
      <c r="AE31" t="s">
        <v>38</v>
      </c>
    </row>
    <row r="32" spans="1:31" x14ac:dyDescent="0.3">
      <c r="A32" t="s">
        <v>31</v>
      </c>
      <c r="B32" t="s">
        <v>66</v>
      </c>
      <c r="C32" t="s">
        <v>62</v>
      </c>
      <c r="D32" t="s">
        <v>34</v>
      </c>
      <c r="E32">
        <v>731</v>
      </c>
      <c r="F32">
        <v>101198</v>
      </c>
      <c r="G32">
        <v>79882</v>
      </c>
      <c r="H32">
        <v>138.44</v>
      </c>
      <c r="I32">
        <v>111.88</v>
      </c>
      <c r="J32">
        <v>0.80810000000000004</v>
      </c>
      <c r="K32">
        <v>143.93</v>
      </c>
      <c r="L32">
        <v>111.6</v>
      </c>
      <c r="M32">
        <v>278.19</v>
      </c>
      <c r="N32">
        <v>6.53</v>
      </c>
      <c r="O32">
        <v>3.56</v>
      </c>
      <c r="P32">
        <v>11.35</v>
      </c>
      <c r="Q32">
        <v>0</v>
      </c>
      <c r="R32">
        <v>100</v>
      </c>
      <c r="S32">
        <v>6.2100000000000002E-2</v>
      </c>
      <c r="T32">
        <v>3.9699999999999999E-2</v>
      </c>
      <c r="U32">
        <v>208.19</v>
      </c>
      <c r="V32">
        <v>12402.14</v>
      </c>
      <c r="W32">
        <v>731</v>
      </c>
      <c r="X32">
        <v>109.28</v>
      </c>
      <c r="Y32">
        <v>54.11</v>
      </c>
      <c r="Z32">
        <v>1</v>
      </c>
      <c r="AA32">
        <v>0</v>
      </c>
      <c r="AB32" t="s">
        <v>35</v>
      </c>
      <c r="AC32" t="s">
        <v>36</v>
      </c>
      <c r="AD32" t="s">
        <v>37</v>
      </c>
      <c r="AE32" t="s">
        <v>38</v>
      </c>
    </row>
    <row r="33" spans="1:31" x14ac:dyDescent="0.3">
      <c r="A33" t="s">
        <v>43</v>
      </c>
      <c r="B33" t="s">
        <v>61</v>
      </c>
      <c r="C33" t="s">
        <v>62</v>
      </c>
      <c r="D33" t="s">
        <v>34</v>
      </c>
      <c r="E33">
        <v>731</v>
      </c>
      <c r="F33">
        <v>101190</v>
      </c>
      <c r="G33">
        <v>77866</v>
      </c>
      <c r="H33">
        <v>138.43</v>
      </c>
      <c r="I33">
        <v>108.65</v>
      </c>
      <c r="J33">
        <v>0.78490000000000004</v>
      </c>
      <c r="K33">
        <v>143.68</v>
      </c>
      <c r="L33">
        <v>108.59</v>
      </c>
      <c r="M33">
        <v>272.06</v>
      </c>
      <c r="N33">
        <v>4.38</v>
      </c>
      <c r="O33">
        <v>4.79</v>
      </c>
      <c r="P33">
        <v>10.67</v>
      </c>
      <c r="Q33">
        <v>0</v>
      </c>
      <c r="R33">
        <v>100</v>
      </c>
      <c r="S33">
        <v>6.1600000000000002E-2</v>
      </c>
      <c r="T33">
        <v>3.7999999999999999E-2</v>
      </c>
      <c r="U33">
        <v>201.75</v>
      </c>
      <c r="V33">
        <v>9582.2999999999993</v>
      </c>
      <c r="W33">
        <v>731</v>
      </c>
      <c r="X33">
        <v>106.52</v>
      </c>
      <c r="Y33">
        <v>51.76</v>
      </c>
      <c r="Z33">
        <v>1</v>
      </c>
      <c r="AA33">
        <v>0</v>
      </c>
      <c r="AB33" t="s">
        <v>35</v>
      </c>
      <c r="AC33" t="s">
        <v>36</v>
      </c>
      <c r="AD33" t="s">
        <v>37</v>
      </c>
      <c r="AE33" t="s">
        <v>38</v>
      </c>
    </row>
    <row r="34" spans="1:31" x14ac:dyDescent="0.3">
      <c r="A34" t="s">
        <v>59</v>
      </c>
      <c r="B34" t="s">
        <v>49</v>
      </c>
      <c r="C34" t="s">
        <v>50</v>
      </c>
      <c r="D34" t="s">
        <v>34</v>
      </c>
      <c r="E34">
        <v>731</v>
      </c>
      <c r="F34">
        <v>101144</v>
      </c>
      <c r="G34">
        <v>82977</v>
      </c>
      <c r="H34">
        <v>138.36000000000001</v>
      </c>
      <c r="I34">
        <v>111.25</v>
      </c>
      <c r="J34">
        <v>0.80400000000000005</v>
      </c>
      <c r="K34">
        <v>143.56</v>
      </c>
      <c r="L34">
        <v>111.26</v>
      </c>
      <c r="M34">
        <v>276.02</v>
      </c>
      <c r="N34">
        <v>3.78</v>
      </c>
      <c r="O34">
        <v>3.15</v>
      </c>
      <c r="P34">
        <v>10.4</v>
      </c>
      <c r="Q34">
        <v>0</v>
      </c>
      <c r="R34">
        <v>100</v>
      </c>
      <c r="S34">
        <v>6.0100000000000001E-2</v>
      </c>
      <c r="T34">
        <v>3.7600000000000001E-2</v>
      </c>
      <c r="U34">
        <v>143.56</v>
      </c>
      <c r="V34">
        <v>10702.74</v>
      </c>
      <c r="W34">
        <v>731</v>
      </c>
      <c r="X34">
        <v>113.51</v>
      </c>
      <c r="Y34">
        <v>53.3</v>
      </c>
      <c r="Z34">
        <v>1</v>
      </c>
      <c r="AA34">
        <v>0</v>
      </c>
      <c r="AB34" t="s">
        <v>35</v>
      </c>
      <c r="AC34" t="s">
        <v>36</v>
      </c>
      <c r="AD34" t="s">
        <v>37</v>
      </c>
      <c r="AE34" t="s">
        <v>38</v>
      </c>
    </row>
    <row r="35" spans="1:31" x14ac:dyDescent="0.3">
      <c r="A35" t="s">
        <v>39</v>
      </c>
      <c r="B35" t="s">
        <v>32</v>
      </c>
      <c r="C35" t="s">
        <v>33</v>
      </c>
      <c r="D35" t="s">
        <v>42</v>
      </c>
      <c r="E35">
        <v>731</v>
      </c>
      <c r="F35">
        <v>101119</v>
      </c>
      <c r="G35">
        <v>80958</v>
      </c>
      <c r="H35">
        <v>138.33000000000001</v>
      </c>
      <c r="I35">
        <v>108.01</v>
      </c>
      <c r="J35">
        <v>0.78080000000000005</v>
      </c>
      <c r="K35">
        <v>143.02000000000001</v>
      </c>
      <c r="L35">
        <v>108.58</v>
      </c>
      <c r="M35">
        <v>279.27</v>
      </c>
      <c r="N35">
        <v>5.26</v>
      </c>
      <c r="O35">
        <v>2.87</v>
      </c>
      <c r="P35">
        <v>10.94</v>
      </c>
      <c r="Q35">
        <v>0</v>
      </c>
      <c r="R35">
        <v>100</v>
      </c>
      <c r="S35">
        <v>5.6800000000000003E-2</v>
      </c>
      <c r="T35">
        <v>3.39E-2</v>
      </c>
      <c r="U35">
        <v>180.14</v>
      </c>
      <c r="V35">
        <v>12923.15</v>
      </c>
      <c r="W35">
        <v>731</v>
      </c>
      <c r="X35">
        <v>110.75</v>
      </c>
      <c r="Y35">
        <v>52.18</v>
      </c>
      <c r="Z35">
        <v>1</v>
      </c>
      <c r="AA35">
        <v>0</v>
      </c>
      <c r="AB35" t="s">
        <v>35</v>
      </c>
      <c r="AC35" t="s">
        <v>36</v>
      </c>
      <c r="AD35" t="s">
        <v>37</v>
      </c>
      <c r="AE35" t="s">
        <v>38</v>
      </c>
    </row>
    <row r="36" spans="1:31" x14ac:dyDescent="0.3">
      <c r="A36" t="s">
        <v>43</v>
      </c>
      <c r="B36" t="s">
        <v>53</v>
      </c>
      <c r="C36" t="s">
        <v>41</v>
      </c>
      <c r="D36" t="s">
        <v>34</v>
      </c>
      <c r="E36">
        <v>731</v>
      </c>
      <c r="F36">
        <v>101059</v>
      </c>
      <c r="G36">
        <v>79978</v>
      </c>
      <c r="H36">
        <v>138.25</v>
      </c>
      <c r="I36">
        <v>108.41</v>
      </c>
      <c r="J36">
        <v>0.78420000000000001</v>
      </c>
      <c r="K36">
        <v>143.26</v>
      </c>
      <c r="L36">
        <v>108.6</v>
      </c>
      <c r="M36">
        <v>285.47000000000003</v>
      </c>
      <c r="N36">
        <v>4.3099999999999996</v>
      </c>
      <c r="O36">
        <v>2.74</v>
      </c>
      <c r="P36">
        <v>11.76</v>
      </c>
      <c r="Q36">
        <v>0</v>
      </c>
      <c r="R36">
        <v>100</v>
      </c>
      <c r="S36">
        <v>6.1100000000000002E-2</v>
      </c>
      <c r="T36">
        <v>3.6299999999999999E-2</v>
      </c>
      <c r="U36">
        <v>144.16</v>
      </c>
      <c r="V36">
        <v>11892.13</v>
      </c>
      <c r="W36">
        <v>731</v>
      </c>
      <c r="X36">
        <v>109.41</v>
      </c>
      <c r="Y36">
        <v>52.2</v>
      </c>
      <c r="Z36">
        <v>1</v>
      </c>
      <c r="AA36">
        <v>0</v>
      </c>
      <c r="AB36" t="s">
        <v>35</v>
      </c>
      <c r="AC36" t="s">
        <v>36</v>
      </c>
      <c r="AD36" t="s">
        <v>37</v>
      </c>
      <c r="AE36" t="s">
        <v>38</v>
      </c>
    </row>
    <row r="37" spans="1:31" x14ac:dyDescent="0.3">
      <c r="A37" t="s">
        <v>59</v>
      </c>
      <c r="B37" t="s">
        <v>32</v>
      </c>
      <c r="C37" t="s">
        <v>33</v>
      </c>
      <c r="D37" t="s">
        <v>34</v>
      </c>
      <c r="E37">
        <v>731</v>
      </c>
      <c r="F37">
        <v>100795</v>
      </c>
      <c r="G37">
        <v>78138</v>
      </c>
      <c r="H37">
        <v>137.88999999999999</v>
      </c>
      <c r="I37">
        <v>112.8</v>
      </c>
      <c r="J37">
        <v>0.81810000000000005</v>
      </c>
      <c r="K37">
        <v>142.78</v>
      </c>
      <c r="L37">
        <v>113.36</v>
      </c>
      <c r="M37">
        <v>277.48</v>
      </c>
      <c r="N37">
        <v>4.93</v>
      </c>
      <c r="O37">
        <v>2.0499999999999998</v>
      </c>
      <c r="P37">
        <v>13.13</v>
      </c>
      <c r="Q37">
        <v>0</v>
      </c>
      <c r="R37">
        <v>100</v>
      </c>
      <c r="S37">
        <v>5.8599999999999999E-2</v>
      </c>
      <c r="T37">
        <v>3.5499999999999997E-2</v>
      </c>
      <c r="U37">
        <v>109.19</v>
      </c>
      <c r="V37">
        <v>14827.84</v>
      </c>
      <c r="W37">
        <v>731</v>
      </c>
      <c r="X37">
        <v>106.89</v>
      </c>
      <c r="Y37">
        <v>52.43</v>
      </c>
      <c r="Z37">
        <v>1</v>
      </c>
      <c r="AA37">
        <v>0</v>
      </c>
      <c r="AB37" t="s">
        <v>35</v>
      </c>
      <c r="AC37" t="s">
        <v>36</v>
      </c>
      <c r="AD37" t="s">
        <v>37</v>
      </c>
      <c r="AE37" t="s">
        <v>38</v>
      </c>
    </row>
    <row r="38" spans="1:31" x14ac:dyDescent="0.3">
      <c r="A38" t="s">
        <v>59</v>
      </c>
      <c r="B38" t="s">
        <v>66</v>
      </c>
      <c r="C38" t="s">
        <v>62</v>
      </c>
      <c r="D38" t="s">
        <v>34</v>
      </c>
      <c r="E38">
        <v>731</v>
      </c>
      <c r="F38">
        <v>100749</v>
      </c>
      <c r="G38">
        <v>79521</v>
      </c>
      <c r="H38">
        <v>137.82</v>
      </c>
      <c r="I38">
        <v>111.2</v>
      </c>
      <c r="J38">
        <v>0.80679999999999996</v>
      </c>
      <c r="K38">
        <v>142.47</v>
      </c>
      <c r="L38">
        <v>111.07</v>
      </c>
      <c r="M38">
        <v>278.41000000000003</v>
      </c>
      <c r="N38">
        <v>5.85</v>
      </c>
      <c r="O38">
        <v>2.87</v>
      </c>
      <c r="P38">
        <v>11.22</v>
      </c>
      <c r="Q38">
        <v>0</v>
      </c>
      <c r="R38">
        <v>100</v>
      </c>
      <c r="S38">
        <v>5.7500000000000002E-2</v>
      </c>
      <c r="T38">
        <v>3.3700000000000001E-2</v>
      </c>
      <c r="U38">
        <v>172.01</v>
      </c>
      <c r="V38">
        <v>12975.79</v>
      </c>
      <c r="W38">
        <v>731</v>
      </c>
      <c r="X38">
        <v>108.78</v>
      </c>
      <c r="Y38">
        <v>51.21</v>
      </c>
      <c r="Z38">
        <v>1</v>
      </c>
      <c r="AA38">
        <v>0</v>
      </c>
      <c r="AB38" t="s">
        <v>35</v>
      </c>
      <c r="AC38" t="s">
        <v>36</v>
      </c>
      <c r="AD38" t="s">
        <v>37</v>
      </c>
      <c r="AE38" t="s">
        <v>38</v>
      </c>
    </row>
    <row r="39" spans="1:31" x14ac:dyDescent="0.3">
      <c r="A39" t="s">
        <v>52</v>
      </c>
      <c r="B39" t="s">
        <v>67</v>
      </c>
      <c r="C39" t="s">
        <v>50</v>
      </c>
      <c r="D39" t="s">
        <v>54</v>
      </c>
      <c r="E39">
        <v>731</v>
      </c>
      <c r="F39">
        <v>100728</v>
      </c>
      <c r="G39">
        <v>80467</v>
      </c>
      <c r="H39">
        <v>137.79</v>
      </c>
      <c r="I39">
        <v>111.13</v>
      </c>
      <c r="J39">
        <v>0.80649999999999999</v>
      </c>
      <c r="K39">
        <v>142.69999999999999</v>
      </c>
      <c r="L39">
        <v>112.1</v>
      </c>
      <c r="M39">
        <v>280.39</v>
      </c>
      <c r="N39">
        <v>6.21</v>
      </c>
      <c r="O39">
        <v>4.92</v>
      </c>
      <c r="P39">
        <v>10.94</v>
      </c>
      <c r="Q39">
        <v>0</v>
      </c>
      <c r="R39">
        <v>100</v>
      </c>
      <c r="S39">
        <v>6.0400000000000002E-2</v>
      </c>
      <c r="T39">
        <v>3.56E-2</v>
      </c>
      <c r="U39">
        <v>223.5</v>
      </c>
      <c r="V39">
        <v>14658.42</v>
      </c>
      <c r="W39">
        <v>731</v>
      </c>
      <c r="X39">
        <v>110.08</v>
      </c>
      <c r="Y39">
        <v>52.25</v>
      </c>
      <c r="Z39">
        <v>1</v>
      </c>
      <c r="AA39">
        <v>0</v>
      </c>
      <c r="AB39" t="s">
        <v>35</v>
      </c>
      <c r="AC39" t="s">
        <v>36</v>
      </c>
      <c r="AD39" t="s">
        <v>37</v>
      </c>
      <c r="AE39" t="s">
        <v>38</v>
      </c>
    </row>
    <row r="40" spans="1:31" x14ac:dyDescent="0.3">
      <c r="A40" t="s">
        <v>52</v>
      </c>
      <c r="B40" t="s">
        <v>32</v>
      </c>
      <c r="C40" t="s">
        <v>33</v>
      </c>
      <c r="D40" t="s">
        <v>54</v>
      </c>
      <c r="E40">
        <v>731</v>
      </c>
      <c r="F40">
        <v>100664</v>
      </c>
      <c r="G40">
        <v>80930</v>
      </c>
      <c r="H40">
        <v>137.71</v>
      </c>
      <c r="I40">
        <v>108.2</v>
      </c>
      <c r="J40">
        <v>0.78569999999999995</v>
      </c>
      <c r="K40">
        <v>143</v>
      </c>
      <c r="L40">
        <v>108.94</v>
      </c>
      <c r="M40">
        <v>277.69</v>
      </c>
      <c r="N40">
        <v>5.13</v>
      </c>
      <c r="O40">
        <v>3.69</v>
      </c>
      <c r="P40">
        <v>10.81</v>
      </c>
      <c r="Q40">
        <v>0</v>
      </c>
      <c r="R40">
        <v>100</v>
      </c>
      <c r="S40">
        <v>6.0499999999999998E-2</v>
      </c>
      <c r="T40">
        <v>3.8399999999999997E-2</v>
      </c>
      <c r="U40">
        <v>167.01</v>
      </c>
      <c r="V40">
        <v>12586.09</v>
      </c>
      <c r="W40">
        <v>731</v>
      </c>
      <c r="X40">
        <v>110.71</v>
      </c>
      <c r="Y40">
        <v>52.24</v>
      </c>
      <c r="Z40">
        <v>1</v>
      </c>
      <c r="AA40">
        <v>0</v>
      </c>
      <c r="AB40" t="s">
        <v>35</v>
      </c>
      <c r="AC40" t="s">
        <v>36</v>
      </c>
      <c r="AD40" t="s">
        <v>37</v>
      </c>
      <c r="AE40" t="s">
        <v>38</v>
      </c>
    </row>
    <row r="41" spans="1:31" x14ac:dyDescent="0.3">
      <c r="A41" t="s">
        <v>43</v>
      </c>
      <c r="B41" t="s">
        <v>66</v>
      </c>
      <c r="C41" t="s">
        <v>62</v>
      </c>
      <c r="D41" t="s">
        <v>34</v>
      </c>
      <c r="E41">
        <v>731</v>
      </c>
      <c r="F41">
        <v>100601</v>
      </c>
      <c r="G41">
        <v>77677</v>
      </c>
      <c r="H41">
        <v>137.62</v>
      </c>
      <c r="I41">
        <v>112.77</v>
      </c>
      <c r="J41">
        <v>0.81940000000000002</v>
      </c>
      <c r="K41">
        <v>142.86000000000001</v>
      </c>
      <c r="L41">
        <v>113.49</v>
      </c>
      <c r="M41">
        <v>274.86</v>
      </c>
      <c r="N41">
        <v>4.8</v>
      </c>
      <c r="O41">
        <v>3.28</v>
      </c>
      <c r="P41">
        <v>11.08</v>
      </c>
      <c r="Q41">
        <v>0</v>
      </c>
      <c r="R41">
        <v>100</v>
      </c>
      <c r="S41">
        <v>6.0199999999999997E-2</v>
      </c>
      <c r="T41">
        <v>3.7999999999999999E-2</v>
      </c>
      <c r="U41">
        <v>132.16999999999999</v>
      </c>
      <c r="V41">
        <v>12343.94</v>
      </c>
      <c r="W41">
        <v>731</v>
      </c>
      <c r="X41">
        <v>106.26</v>
      </c>
      <c r="Y41">
        <v>52.82</v>
      </c>
      <c r="Z41">
        <v>1</v>
      </c>
      <c r="AA41">
        <v>0</v>
      </c>
      <c r="AB41" t="s">
        <v>35</v>
      </c>
      <c r="AC41" t="s">
        <v>36</v>
      </c>
      <c r="AD41" t="s">
        <v>37</v>
      </c>
      <c r="AE41" t="s">
        <v>38</v>
      </c>
    </row>
    <row r="42" spans="1:31" x14ac:dyDescent="0.3">
      <c r="A42" t="s">
        <v>39</v>
      </c>
      <c r="B42" t="s">
        <v>49</v>
      </c>
      <c r="C42" t="s">
        <v>50</v>
      </c>
      <c r="D42" t="s">
        <v>42</v>
      </c>
      <c r="E42">
        <v>731</v>
      </c>
      <c r="F42">
        <v>100552</v>
      </c>
      <c r="G42">
        <v>81334</v>
      </c>
      <c r="H42">
        <v>137.55000000000001</v>
      </c>
      <c r="I42">
        <v>108.51</v>
      </c>
      <c r="J42">
        <v>0.78879999999999995</v>
      </c>
      <c r="K42">
        <v>142.5</v>
      </c>
      <c r="L42">
        <v>108.78</v>
      </c>
      <c r="M42">
        <v>272.64999999999998</v>
      </c>
      <c r="N42">
        <v>4.8099999999999996</v>
      </c>
      <c r="O42">
        <v>3.28</v>
      </c>
      <c r="P42">
        <v>10.81</v>
      </c>
      <c r="Q42">
        <v>0</v>
      </c>
      <c r="R42">
        <v>100</v>
      </c>
      <c r="S42">
        <v>0.06</v>
      </c>
      <c r="T42">
        <v>3.5999999999999997E-2</v>
      </c>
      <c r="U42">
        <v>155.44999999999999</v>
      </c>
      <c r="V42">
        <v>10935.02</v>
      </c>
      <c r="W42">
        <v>731</v>
      </c>
      <c r="X42">
        <v>111.26</v>
      </c>
      <c r="Y42">
        <v>51.85</v>
      </c>
      <c r="Z42">
        <v>1</v>
      </c>
      <c r="AA42">
        <v>0</v>
      </c>
      <c r="AB42" t="s">
        <v>35</v>
      </c>
      <c r="AC42" t="s">
        <v>36</v>
      </c>
      <c r="AD42" t="s">
        <v>37</v>
      </c>
      <c r="AE42" t="s">
        <v>38</v>
      </c>
    </row>
    <row r="43" spans="1:31" x14ac:dyDescent="0.3">
      <c r="A43" t="s">
        <v>31</v>
      </c>
      <c r="B43" t="s">
        <v>67</v>
      </c>
      <c r="C43" t="s">
        <v>50</v>
      </c>
      <c r="D43" t="s">
        <v>34</v>
      </c>
      <c r="E43">
        <v>731</v>
      </c>
      <c r="F43">
        <v>100551</v>
      </c>
      <c r="G43">
        <v>82331</v>
      </c>
      <c r="H43">
        <v>137.55000000000001</v>
      </c>
      <c r="I43">
        <v>109.46</v>
      </c>
      <c r="J43">
        <v>0.79579999999999995</v>
      </c>
      <c r="K43">
        <v>142.82</v>
      </c>
      <c r="L43">
        <v>110.15</v>
      </c>
      <c r="M43">
        <v>281.5</v>
      </c>
      <c r="N43">
        <v>4.53</v>
      </c>
      <c r="O43">
        <v>3.69</v>
      </c>
      <c r="P43">
        <v>12.31</v>
      </c>
      <c r="Q43">
        <v>0</v>
      </c>
      <c r="R43">
        <v>100</v>
      </c>
      <c r="S43">
        <v>6.1400000000000003E-2</v>
      </c>
      <c r="T43">
        <v>3.8300000000000001E-2</v>
      </c>
      <c r="U43">
        <v>210.32</v>
      </c>
      <c r="V43">
        <v>13085.21</v>
      </c>
      <c r="W43">
        <v>731</v>
      </c>
      <c r="X43">
        <v>112.63</v>
      </c>
      <c r="Y43">
        <v>50.53</v>
      </c>
      <c r="Z43">
        <v>1</v>
      </c>
      <c r="AA43">
        <v>0</v>
      </c>
      <c r="AB43" t="s">
        <v>35</v>
      </c>
      <c r="AC43" t="s">
        <v>36</v>
      </c>
      <c r="AD43" t="s">
        <v>37</v>
      </c>
      <c r="AE43" t="s">
        <v>38</v>
      </c>
    </row>
    <row r="44" spans="1:31" x14ac:dyDescent="0.3">
      <c r="A44" t="s">
        <v>39</v>
      </c>
      <c r="B44" t="s">
        <v>63</v>
      </c>
      <c r="C44" t="s">
        <v>56</v>
      </c>
      <c r="D44" t="s">
        <v>42</v>
      </c>
      <c r="E44">
        <v>731</v>
      </c>
      <c r="F44">
        <v>100529</v>
      </c>
      <c r="G44">
        <v>79853</v>
      </c>
      <c r="H44">
        <v>137.52000000000001</v>
      </c>
      <c r="I44">
        <v>111.91</v>
      </c>
      <c r="J44">
        <v>0.81369999999999998</v>
      </c>
      <c r="K44">
        <v>142.03</v>
      </c>
      <c r="L44">
        <v>112.43</v>
      </c>
      <c r="M44">
        <v>276.77</v>
      </c>
      <c r="N44">
        <v>5.13</v>
      </c>
      <c r="O44">
        <v>2.0499999999999998</v>
      </c>
      <c r="P44">
        <v>11.63</v>
      </c>
      <c r="Q44">
        <v>0</v>
      </c>
      <c r="R44">
        <v>100</v>
      </c>
      <c r="S44">
        <v>5.8900000000000001E-2</v>
      </c>
      <c r="T44">
        <v>3.27E-2</v>
      </c>
      <c r="U44">
        <v>75.3</v>
      </c>
      <c r="V44">
        <v>14009.07</v>
      </c>
      <c r="W44">
        <v>731</v>
      </c>
      <c r="X44">
        <v>109.24</v>
      </c>
      <c r="Y44">
        <v>51.03</v>
      </c>
      <c r="Z44">
        <v>1</v>
      </c>
      <c r="AA44">
        <v>0</v>
      </c>
      <c r="AB44" t="s">
        <v>35</v>
      </c>
      <c r="AC44" t="s">
        <v>36</v>
      </c>
      <c r="AD44" t="s">
        <v>37</v>
      </c>
      <c r="AE44" t="s">
        <v>38</v>
      </c>
    </row>
    <row r="45" spans="1:31" x14ac:dyDescent="0.3">
      <c r="A45" t="s">
        <v>31</v>
      </c>
      <c r="B45" t="s">
        <v>51</v>
      </c>
      <c r="C45" t="s">
        <v>50</v>
      </c>
      <c r="D45" t="s">
        <v>34</v>
      </c>
      <c r="E45">
        <v>731</v>
      </c>
      <c r="F45">
        <v>100409</v>
      </c>
      <c r="G45">
        <v>78477</v>
      </c>
      <c r="H45">
        <v>137.36000000000001</v>
      </c>
      <c r="I45">
        <v>111.17</v>
      </c>
      <c r="J45">
        <v>0.80930000000000002</v>
      </c>
      <c r="K45">
        <v>142.4</v>
      </c>
      <c r="L45">
        <v>111.68</v>
      </c>
      <c r="M45">
        <v>273.18</v>
      </c>
      <c r="N45">
        <v>4.45</v>
      </c>
      <c r="O45">
        <v>3.01</v>
      </c>
      <c r="P45">
        <v>12.18</v>
      </c>
      <c r="Q45">
        <v>0</v>
      </c>
      <c r="R45">
        <v>100</v>
      </c>
      <c r="S45">
        <v>5.9700000000000003E-2</v>
      </c>
      <c r="T45">
        <v>3.6700000000000003E-2</v>
      </c>
      <c r="U45">
        <v>129.43</v>
      </c>
      <c r="V45">
        <v>12344.67</v>
      </c>
      <c r="W45">
        <v>731</v>
      </c>
      <c r="X45">
        <v>107.36</v>
      </c>
      <c r="Y45">
        <v>51.95</v>
      </c>
      <c r="Z45">
        <v>1</v>
      </c>
      <c r="AA45">
        <v>0</v>
      </c>
      <c r="AB45" t="s">
        <v>35</v>
      </c>
      <c r="AC45" t="s">
        <v>36</v>
      </c>
      <c r="AD45" t="s">
        <v>37</v>
      </c>
      <c r="AE45" t="s">
        <v>38</v>
      </c>
    </row>
    <row r="46" spans="1:31" x14ac:dyDescent="0.3">
      <c r="A46" t="s">
        <v>59</v>
      </c>
      <c r="B46" t="s">
        <v>44</v>
      </c>
      <c r="C46" t="s">
        <v>41</v>
      </c>
      <c r="D46" t="s">
        <v>34</v>
      </c>
      <c r="E46">
        <v>731</v>
      </c>
      <c r="F46">
        <v>100371</v>
      </c>
      <c r="G46">
        <v>80505</v>
      </c>
      <c r="H46">
        <v>137.31</v>
      </c>
      <c r="I46">
        <v>108.19</v>
      </c>
      <c r="J46">
        <v>0.78790000000000004</v>
      </c>
      <c r="K46">
        <v>143.11000000000001</v>
      </c>
      <c r="L46">
        <v>108.27</v>
      </c>
      <c r="M46">
        <v>272.82</v>
      </c>
      <c r="N46">
        <v>28.61</v>
      </c>
      <c r="O46">
        <v>4.0999999999999996</v>
      </c>
      <c r="P46">
        <v>10.67</v>
      </c>
      <c r="Q46">
        <v>0</v>
      </c>
      <c r="R46">
        <v>100</v>
      </c>
      <c r="S46">
        <v>6.2399999999999997E-2</v>
      </c>
      <c r="T46">
        <v>4.2299999999999997E-2</v>
      </c>
      <c r="U46">
        <v>189.7</v>
      </c>
      <c r="V46">
        <v>10490.08</v>
      </c>
      <c r="W46">
        <v>731</v>
      </c>
      <c r="X46">
        <v>110.13</v>
      </c>
      <c r="Y46">
        <v>51.93</v>
      </c>
      <c r="Z46">
        <v>1</v>
      </c>
      <c r="AA46">
        <v>0</v>
      </c>
      <c r="AB46" t="s">
        <v>47</v>
      </c>
      <c r="AC46" t="s">
        <v>36</v>
      </c>
      <c r="AD46" t="s">
        <v>37</v>
      </c>
      <c r="AE46" t="s">
        <v>38</v>
      </c>
    </row>
    <row r="47" spans="1:31" x14ac:dyDescent="0.3">
      <c r="A47" t="s">
        <v>31</v>
      </c>
      <c r="B47" t="s">
        <v>55</v>
      </c>
      <c r="C47" t="s">
        <v>56</v>
      </c>
      <c r="D47" t="s">
        <v>34</v>
      </c>
      <c r="E47">
        <v>731</v>
      </c>
      <c r="F47">
        <v>100358</v>
      </c>
      <c r="G47">
        <v>81106</v>
      </c>
      <c r="H47">
        <v>137.29</v>
      </c>
      <c r="I47">
        <v>108.62</v>
      </c>
      <c r="J47">
        <v>0.79120000000000001</v>
      </c>
      <c r="K47">
        <v>142.36000000000001</v>
      </c>
      <c r="L47">
        <v>109.1</v>
      </c>
      <c r="M47">
        <v>282.60000000000002</v>
      </c>
      <c r="N47">
        <v>8.34</v>
      </c>
      <c r="O47">
        <v>3.15</v>
      </c>
      <c r="P47">
        <v>13.41</v>
      </c>
      <c r="Q47">
        <v>0</v>
      </c>
      <c r="R47">
        <v>100</v>
      </c>
      <c r="S47">
        <v>5.8500000000000003E-2</v>
      </c>
      <c r="T47">
        <v>3.6900000000000002E-2</v>
      </c>
      <c r="U47">
        <v>152.78</v>
      </c>
      <c r="V47">
        <v>13528.13</v>
      </c>
      <c r="W47">
        <v>731</v>
      </c>
      <c r="X47">
        <v>110.95</v>
      </c>
      <c r="Y47">
        <v>52.28</v>
      </c>
      <c r="Z47">
        <v>1</v>
      </c>
      <c r="AA47">
        <v>0</v>
      </c>
      <c r="AB47" t="s">
        <v>47</v>
      </c>
      <c r="AC47" t="s">
        <v>36</v>
      </c>
      <c r="AD47" t="s">
        <v>37</v>
      </c>
      <c r="AE47" t="s">
        <v>38</v>
      </c>
    </row>
    <row r="48" spans="1:31" x14ac:dyDescent="0.3">
      <c r="A48" t="s">
        <v>52</v>
      </c>
      <c r="B48" t="s">
        <v>46</v>
      </c>
      <c r="C48" t="s">
        <v>41</v>
      </c>
      <c r="D48" t="s">
        <v>54</v>
      </c>
      <c r="E48">
        <v>731</v>
      </c>
      <c r="F48">
        <v>100309</v>
      </c>
      <c r="G48">
        <v>80003</v>
      </c>
      <c r="H48">
        <v>137.22</v>
      </c>
      <c r="I48">
        <v>107.08</v>
      </c>
      <c r="J48">
        <v>0.78039999999999998</v>
      </c>
      <c r="K48">
        <v>142.31</v>
      </c>
      <c r="L48">
        <v>107.51</v>
      </c>
      <c r="M48">
        <v>270.45</v>
      </c>
      <c r="N48">
        <v>4.6900000000000004</v>
      </c>
      <c r="O48">
        <v>3.56</v>
      </c>
      <c r="P48">
        <v>10.81</v>
      </c>
      <c r="Q48">
        <v>0</v>
      </c>
      <c r="R48">
        <v>100</v>
      </c>
      <c r="S48">
        <v>5.9200000000000003E-2</v>
      </c>
      <c r="T48">
        <v>3.7100000000000001E-2</v>
      </c>
      <c r="U48">
        <v>199.03</v>
      </c>
      <c r="V48">
        <v>11518.58</v>
      </c>
      <c r="W48">
        <v>731</v>
      </c>
      <c r="X48">
        <v>109.44</v>
      </c>
      <c r="Y48">
        <v>51.61</v>
      </c>
      <c r="Z48">
        <v>1</v>
      </c>
      <c r="AA48">
        <v>0</v>
      </c>
      <c r="AB48" t="s">
        <v>35</v>
      </c>
      <c r="AC48" t="s">
        <v>36</v>
      </c>
      <c r="AD48" t="s">
        <v>37</v>
      </c>
      <c r="AE48" t="s">
        <v>38</v>
      </c>
    </row>
    <row r="49" spans="1:31" x14ac:dyDescent="0.3">
      <c r="A49" t="s">
        <v>59</v>
      </c>
      <c r="B49" t="s">
        <v>68</v>
      </c>
      <c r="C49" t="s">
        <v>62</v>
      </c>
      <c r="D49" t="s">
        <v>34</v>
      </c>
      <c r="E49">
        <v>731</v>
      </c>
      <c r="F49">
        <v>100244</v>
      </c>
      <c r="G49">
        <v>80051</v>
      </c>
      <c r="H49">
        <v>137.13</v>
      </c>
      <c r="I49">
        <v>108.7</v>
      </c>
      <c r="J49">
        <v>0.79269999999999996</v>
      </c>
      <c r="K49">
        <v>141.75</v>
      </c>
      <c r="L49">
        <v>109.01</v>
      </c>
      <c r="M49">
        <v>269.92</v>
      </c>
      <c r="N49">
        <v>14.16</v>
      </c>
      <c r="O49">
        <v>3.15</v>
      </c>
      <c r="P49">
        <v>11.22</v>
      </c>
      <c r="Q49">
        <v>0</v>
      </c>
      <c r="R49">
        <v>100</v>
      </c>
      <c r="S49">
        <v>6.0199999999999997E-2</v>
      </c>
      <c r="T49">
        <v>3.3700000000000001E-2</v>
      </c>
      <c r="U49">
        <v>167.72</v>
      </c>
      <c r="V49">
        <v>13199.66</v>
      </c>
      <c r="W49">
        <v>731</v>
      </c>
      <c r="X49">
        <v>109.51</v>
      </c>
      <c r="Y49">
        <v>51.8</v>
      </c>
      <c r="Z49">
        <v>1</v>
      </c>
      <c r="AA49">
        <v>0</v>
      </c>
      <c r="AB49" t="s">
        <v>47</v>
      </c>
      <c r="AC49" t="s">
        <v>36</v>
      </c>
      <c r="AD49" t="s">
        <v>37</v>
      </c>
      <c r="AE49" t="s">
        <v>38</v>
      </c>
    </row>
    <row r="50" spans="1:31" x14ac:dyDescent="0.3">
      <c r="A50" t="s">
        <v>59</v>
      </c>
      <c r="B50" t="s">
        <v>51</v>
      </c>
      <c r="C50" t="s">
        <v>50</v>
      </c>
      <c r="D50" t="s">
        <v>34</v>
      </c>
      <c r="E50">
        <v>731</v>
      </c>
      <c r="F50">
        <v>99870</v>
      </c>
      <c r="G50">
        <v>81397</v>
      </c>
      <c r="H50">
        <v>136.62</v>
      </c>
      <c r="I50">
        <v>110.67</v>
      </c>
      <c r="J50">
        <v>0.81</v>
      </c>
      <c r="K50">
        <v>141.33000000000001</v>
      </c>
      <c r="L50">
        <v>111.05</v>
      </c>
      <c r="M50">
        <v>270.89999999999998</v>
      </c>
      <c r="N50">
        <v>7.95</v>
      </c>
      <c r="O50">
        <v>3.01</v>
      </c>
      <c r="P50">
        <v>12.45</v>
      </c>
      <c r="Q50">
        <v>0</v>
      </c>
      <c r="R50">
        <v>100</v>
      </c>
      <c r="S50">
        <v>6.0100000000000001E-2</v>
      </c>
      <c r="T50">
        <v>3.4500000000000003E-2</v>
      </c>
      <c r="U50">
        <v>122.91</v>
      </c>
      <c r="V50">
        <v>11664.42</v>
      </c>
      <c r="W50">
        <v>731</v>
      </c>
      <c r="X50">
        <v>111.35</v>
      </c>
      <c r="Y50">
        <v>51.9</v>
      </c>
      <c r="Z50">
        <v>1</v>
      </c>
      <c r="AA50">
        <v>0</v>
      </c>
      <c r="AB50" t="s">
        <v>47</v>
      </c>
      <c r="AC50" t="s">
        <v>36</v>
      </c>
      <c r="AD50" t="s">
        <v>37</v>
      </c>
      <c r="AE50" t="s">
        <v>38</v>
      </c>
    </row>
    <row r="51" spans="1:31" x14ac:dyDescent="0.3">
      <c r="A51" t="s">
        <v>31</v>
      </c>
      <c r="B51" t="s">
        <v>65</v>
      </c>
      <c r="C51" t="s">
        <v>62</v>
      </c>
      <c r="D51" t="s">
        <v>34</v>
      </c>
      <c r="E51">
        <v>731</v>
      </c>
      <c r="F51">
        <v>99824</v>
      </c>
      <c r="G51">
        <v>81584</v>
      </c>
      <c r="H51">
        <v>136.56</v>
      </c>
      <c r="I51">
        <v>107.51</v>
      </c>
      <c r="J51">
        <v>0.7873</v>
      </c>
      <c r="K51">
        <v>141.38999999999999</v>
      </c>
      <c r="L51">
        <v>108.2</v>
      </c>
      <c r="M51">
        <v>279.14</v>
      </c>
      <c r="N51">
        <v>20.12</v>
      </c>
      <c r="O51">
        <v>3.15</v>
      </c>
      <c r="P51">
        <v>12.31</v>
      </c>
      <c r="Q51">
        <v>0</v>
      </c>
      <c r="R51">
        <v>100</v>
      </c>
      <c r="S51">
        <v>6.0699999999999997E-2</v>
      </c>
      <c r="T51">
        <v>3.5400000000000001E-2</v>
      </c>
      <c r="U51">
        <v>199.55</v>
      </c>
      <c r="V51">
        <v>14282.47</v>
      </c>
      <c r="W51">
        <v>731</v>
      </c>
      <c r="X51">
        <v>111.61</v>
      </c>
      <c r="Y51">
        <v>49.96</v>
      </c>
      <c r="Z51">
        <v>1</v>
      </c>
      <c r="AA51">
        <v>0</v>
      </c>
      <c r="AB51" t="s">
        <v>47</v>
      </c>
      <c r="AC51" t="s">
        <v>36</v>
      </c>
      <c r="AD51" t="s">
        <v>37</v>
      </c>
      <c r="AE51" t="s">
        <v>38</v>
      </c>
    </row>
    <row r="52" spans="1:31" x14ac:dyDescent="0.3">
      <c r="A52" t="s">
        <v>52</v>
      </c>
      <c r="B52" t="s">
        <v>57</v>
      </c>
      <c r="C52" t="s">
        <v>56</v>
      </c>
      <c r="D52" t="s">
        <v>54</v>
      </c>
      <c r="E52">
        <v>731</v>
      </c>
      <c r="F52">
        <v>99798</v>
      </c>
      <c r="G52">
        <v>79004</v>
      </c>
      <c r="H52">
        <v>136.52000000000001</v>
      </c>
      <c r="I52">
        <v>110.57</v>
      </c>
      <c r="J52">
        <v>0.80989999999999995</v>
      </c>
      <c r="K52">
        <v>141.51</v>
      </c>
      <c r="L52">
        <v>110.88</v>
      </c>
      <c r="M52">
        <v>272.49</v>
      </c>
      <c r="N52">
        <v>5.01</v>
      </c>
      <c r="O52">
        <v>3.42</v>
      </c>
      <c r="P52">
        <v>11.22</v>
      </c>
      <c r="Q52">
        <v>0</v>
      </c>
      <c r="R52">
        <v>100</v>
      </c>
      <c r="S52">
        <v>6.0999999999999999E-2</v>
      </c>
      <c r="T52">
        <v>3.6499999999999998E-2</v>
      </c>
      <c r="U52">
        <v>144.76</v>
      </c>
      <c r="V52">
        <v>14428.85</v>
      </c>
      <c r="W52">
        <v>731</v>
      </c>
      <c r="X52">
        <v>108.08</v>
      </c>
      <c r="Y52">
        <v>52.65</v>
      </c>
      <c r="Z52">
        <v>1</v>
      </c>
      <c r="AA52">
        <v>0</v>
      </c>
      <c r="AB52" t="s">
        <v>35</v>
      </c>
      <c r="AC52" t="s">
        <v>36</v>
      </c>
      <c r="AD52" t="s">
        <v>37</v>
      </c>
      <c r="AE52" t="s">
        <v>38</v>
      </c>
    </row>
    <row r="53" spans="1:31" x14ac:dyDescent="0.3">
      <c r="A53" t="s">
        <v>59</v>
      </c>
      <c r="B53" t="s">
        <v>55</v>
      </c>
      <c r="C53" t="s">
        <v>56</v>
      </c>
      <c r="D53" t="s">
        <v>34</v>
      </c>
      <c r="E53">
        <v>731</v>
      </c>
      <c r="F53">
        <v>99744</v>
      </c>
      <c r="G53">
        <v>81577</v>
      </c>
      <c r="H53">
        <v>136.44999999999999</v>
      </c>
      <c r="I53">
        <v>108.97</v>
      </c>
      <c r="J53">
        <v>0.79859999999999998</v>
      </c>
      <c r="K53">
        <v>141.44</v>
      </c>
      <c r="L53">
        <v>109.35</v>
      </c>
      <c r="M53">
        <v>285.64999999999998</v>
      </c>
      <c r="N53">
        <v>5.44</v>
      </c>
      <c r="O53">
        <v>2.33</v>
      </c>
      <c r="P53">
        <v>11.9</v>
      </c>
      <c r="Q53">
        <v>0</v>
      </c>
      <c r="R53">
        <v>100</v>
      </c>
      <c r="S53">
        <v>6.13E-2</v>
      </c>
      <c r="T53">
        <v>3.6600000000000001E-2</v>
      </c>
      <c r="U53">
        <v>145.61000000000001</v>
      </c>
      <c r="V53">
        <v>14734.98</v>
      </c>
      <c r="W53">
        <v>731</v>
      </c>
      <c r="X53">
        <v>111.6</v>
      </c>
      <c r="Y53">
        <v>51.26</v>
      </c>
      <c r="Z53">
        <v>1</v>
      </c>
      <c r="AA53">
        <v>0</v>
      </c>
      <c r="AB53" t="s">
        <v>35</v>
      </c>
      <c r="AC53" t="s">
        <v>36</v>
      </c>
      <c r="AD53" t="s">
        <v>37</v>
      </c>
      <c r="AE53" t="s">
        <v>38</v>
      </c>
    </row>
    <row r="54" spans="1:31" x14ac:dyDescent="0.3">
      <c r="A54" t="s">
        <v>31</v>
      </c>
      <c r="B54" t="s">
        <v>48</v>
      </c>
      <c r="C54" t="s">
        <v>33</v>
      </c>
      <c r="D54" t="s">
        <v>34</v>
      </c>
      <c r="E54">
        <v>731</v>
      </c>
      <c r="F54">
        <v>99558</v>
      </c>
      <c r="G54">
        <v>80512</v>
      </c>
      <c r="H54">
        <v>136.19</v>
      </c>
      <c r="I54">
        <v>107.78</v>
      </c>
      <c r="J54">
        <v>0.79139999999999999</v>
      </c>
      <c r="K54">
        <v>141.41</v>
      </c>
      <c r="L54">
        <v>108.36</v>
      </c>
      <c r="M54">
        <v>272.26</v>
      </c>
      <c r="N54">
        <v>5.0999999999999996</v>
      </c>
      <c r="O54">
        <v>3.97</v>
      </c>
      <c r="P54">
        <v>11.08</v>
      </c>
      <c r="Q54">
        <v>0</v>
      </c>
      <c r="R54">
        <v>100</v>
      </c>
      <c r="S54">
        <v>6.1199999999999997E-2</v>
      </c>
      <c r="T54">
        <v>3.8300000000000001E-2</v>
      </c>
      <c r="U54">
        <v>162.54</v>
      </c>
      <c r="V54">
        <v>10834.38</v>
      </c>
      <c r="W54">
        <v>731</v>
      </c>
      <c r="X54">
        <v>110.14</v>
      </c>
      <c r="Y54">
        <v>52.95</v>
      </c>
      <c r="Z54">
        <v>1</v>
      </c>
      <c r="AA54">
        <v>0</v>
      </c>
      <c r="AB54" t="s">
        <v>35</v>
      </c>
      <c r="AC54" t="s">
        <v>36</v>
      </c>
      <c r="AD54" t="s">
        <v>37</v>
      </c>
      <c r="AE54" t="s">
        <v>38</v>
      </c>
    </row>
    <row r="55" spans="1:31" x14ac:dyDescent="0.3">
      <c r="A55" t="s">
        <v>39</v>
      </c>
      <c r="B55" t="s">
        <v>67</v>
      </c>
      <c r="C55" t="s">
        <v>50</v>
      </c>
      <c r="D55" t="s">
        <v>42</v>
      </c>
      <c r="E55">
        <v>731</v>
      </c>
      <c r="F55">
        <v>99422</v>
      </c>
      <c r="G55">
        <v>81076</v>
      </c>
      <c r="H55">
        <v>136.01</v>
      </c>
      <c r="I55">
        <v>109.32</v>
      </c>
      <c r="J55">
        <v>0.80379999999999996</v>
      </c>
      <c r="K55">
        <v>140.91999999999999</v>
      </c>
      <c r="L55">
        <v>109.4</v>
      </c>
      <c r="M55">
        <v>265.29000000000002</v>
      </c>
      <c r="N55">
        <v>6</v>
      </c>
      <c r="O55">
        <v>4.0999999999999996</v>
      </c>
      <c r="P55">
        <v>11.49</v>
      </c>
      <c r="Q55">
        <v>0</v>
      </c>
      <c r="R55">
        <v>100</v>
      </c>
      <c r="S55">
        <v>6.0600000000000001E-2</v>
      </c>
      <c r="T55">
        <v>3.61E-2</v>
      </c>
      <c r="U55">
        <v>174.21</v>
      </c>
      <c r="V55">
        <v>13557</v>
      </c>
      <c r="W55">
        <v>731</v>
      </c>
      <c r="X55">
        <v>110.91</v>
      </c>
      <c r="Y55">
        <v>52.51</v>
      </c>
      <c r="Z55">
        <v>1</v>
      </c>
      <c r="AA55">
        <v>0</v>
      </c>
      <c r="AB55" t="s">
        <v>35</v>
      </c>
      <c r="AC55" t="s">
        <v>36</v>
      </c>
      <c r="AD55" t="s">
        <v>37</v>
      </c>
      <c r="AE55" t="s">
        <v>38</v>
      </c>
    </row>
    <row r="56" spans="1:31" x14ac:dyDescent="0.3">
      <c r="A56" t="s">
        <v>52</v>
      </c>
      <c r="B56" t="s">
        <v>49</v>
      </c>
      <c r="C56" t="s">
        <v>50</v>
      </c>
      <c r="D56" t="s">
        <v>54</v>
      </c>
      <c r="E56">
        <v>731</v>
      </c>
      <c r="F56">
        <v>99299</v>
      </c>
      <c r="G56">
        <v>81255</v>
      </c>
      <c r="H56">
        <v>135.84</v>
      </c>
      <c r="I56">
        <v>106.72</v>
      </c>
      <c r="J56">
        <v>0.78559999999999997</v>
      </c>
      <c r="K56">
        <v>140.25</v>
      </c>
      <c r="L56">
        <v>107.09</v>
      </c>
      <c r="M56">
        <v>275.11</v>
      </c>
      <c r="N56">
        <v>7.42</v>
      </c>
      <c r="O56">
        <v>4.0999999999999996</v>
      </c>
      <c r="P56">
        <v>10.67</v>
      </c>
      <c r="Q56">
        <v>0</v>
      </c>
      <c r="R56">
        <v>100</v>
      </c>
      <c r="S56">
        <v>5.9400000000000001E-2</v>
      </c>
      <c r="T56">
        <v>3.2500000000000001E-2</v>
      </c>
      <c r="U56">
        <v>209.83</v>
      </c>
      <c r="V56">
        <v>12480.68</v>
      </c>
      <c r="W56">
        <v>731</v>
      </c>
      <c r="X56">
        <v>111.16</v>
      </c>
      <c r="Y56">
        <v>53.61</v>
      </c>
      <c r="Z56">
        <v>1</v>
      </c>
      <c r="AA56">
        <v>0</v>
      </c>
      <c r="AB56" t="s">
        <v>47</v>
      </c>
      <c r="AC56" t="s">
        <v>36</v>
      </c>
      <c r="AD56" t="s">
        <v>37</v>
      </c>
      <c r="AE56" t="s">
        <v>38</v>
      </c>
    </row>
    <row r="57" spans="1:31" x14ac:dyDescent="0.3">
      <c r="A57" t="s">
        <v>43</v>
      </c>
      <c r="B57" t="s">
        <v>65</v>
      </c>
      <c r="C57" t="s">
        <v>62</v>
      </c>
      <c r="D57" t="s">
        <v>34</v>
      </c>
      <c r="E57">
        <v>731</v>
      </c>
      <c r="F57">
        <v>99145</v>
      </c>
      <c r="G57">
        <v>79341</v>
      </c>
      <c r="H57">
        <v>135.63</v>
      </c>
      <c r="I57">
        <v>108.69</v>
      </c>
      <c r="J57">
        <v>0.8014</v>
      </c>
      <c r="K57">
        <v>140.85</v>
      </c>
      <c r="L57">
        <v>109.12</v>
      </c>
      <c r="M57">
        <v>269.35000000000002</v>
      </c>
      <c r="N57">
        <v>4.3</v>
      </c>
      <c r="O57">
        <v>3.56</v>
      </c>
      <c r="P57">
        <v>8.2100000000000009</v>
      </c>
      <c r="Q57">
        <v>0</v>
      </c>
      <c r="R57">
        <v>100</v>
      </c>
      <c r="S57">
        <v>6.1800000000000001E-2</v>
      </c>
      <c r="T57">
        <v>3.85E-2</v>
      </c>
      <c r="U57">
        <v>115.21</v>
      </c>
      <c r="V57">
        <v>9253.41</v>
      </c>
      <c r="W57">
        <v>731</v>
      </c>
      <c r="X57">
        <v>108.54</v>
      </c>
      <c r="Y57">
        <v>51.93</v>
      </c>
      <c r="Z57">
        <v>1</v>
      </c>
      <c r="AA57">
        <v>0</v>
      </c>
      <c r="AB57" t="s">
        <v>35</v>
      </c>
      <c r="AC57" t="s">
        <v>36</v>
      </c>
      <c r="AD57" t="s">
        <v>37</v>
      </c>
      <c r="AE57" t="s">
        <v>38</v>
      </c>
    </row>
    <row r="58" spans="1:31" x14ac:dyDescent="0.3">
      <c r="A58" t="s">
        <v>52</v>
      </c>
      <c r="B58" t="s">
        <v>55</v>
      </c>
      <c r="C58" t="s">
        <v>56</v>
      </c>
      <c r="D58" t="s">
        <v>54</v>
      </c>
      <c r="E58">
        <v>731</v>
      </c>
      <c r="F58">
        <v>99123</v>
      </c>
      <c r="G58">
        <v>79952</v>
      </c>
      <c r="H58">
        <v>135.6</v>
      </c>
      <c r="I58">
        <v>107.63</v>
      </c>
      <c r="J58">
        <v>0.79369999999999996</v>
      </c>
      <c r="K58">
        <v>140.47999999999999</v>
      </c>
      <c r="L58">
        <v>107.84</v>
      </c>
      <c r="M58">
        <v>271.99</v>
      </c>
      <c r="N58">
        <v>8.26</v>
      </c>
      <c r="O58">
        <v>3.56</v>
      </c>
      <c r="P58">
        <v>11.9</v>
      </c>
      <c r="Q58">
        <v>0</v>
      </c>
      <c r="R58">
        <v>100</v>
      </c>
      <c r="S58">
        <v>6.0400000000000002E-2</v>
      </c>
      <c r="T58">
        <v>3.5999999999999997E-2</v>
      </c>
      <c r="U58">
        <v>177.93</v>
      </c>
      <c r="V58">
        <v>10933.97</v>
      </c>
      <c r="W58">
        <v>731</v>
      </c>
      <c r="X58">
        <v>109.37</v>
      </c>
      <c r="Y58">
        <v>52.68</v>
      </c>
      <c r="Z58">
        <v>1</v>
      </c>
      <c r="AA58">
        <v>0</v>
      </c>
      <c r="AB58" t="s">
        <v>47</v>
      </c>
      <c r="AC58" t="s">
        <v>36</v>
      </c>
      <c r="AD58" t="s">
        <v>37</v>
      </c>
      <c r="AE58" t="s">
        <v>38</v>
      </c>
    </row>
    <row r="59" spans="1:31" x14ac:dyDescent="0.3">
      <c r="A59" t="s">
        <v>43</v>
      </c>
      <c r="B59" t="s">
        <v>67</v>
      </c>
      <c r="C59" t="s">
        <v>50</v>
      </c>
      <c r="D59" t="s">
        <v>34</v>
      </c>
      <c r="E59">
        <v>731</v>
      </c>
      <c r="F59">
        <v>99012</v>
      </c>
      <c r="G59">
        <v>79891</v>
      </c>
      <c r="H59">
        <v>135.44999999999999</v>
      </c>
      <c r="I59">
        <v>112.87</v>
      </c>
      <c r="J59">
        <v>0.83330000000000004</v>
      </c>
      <c r="K59">
        <v>140.33000000000001</v>
      </c>
      <c r="L59">
        <v>113.4</v>
      </c>
      <c r="M59">
        <v>272.55</v>
      </c>
      <c r="N59">
        <v>4.24</v>
      </c>
      <c r="O59">
        <v>3.42</v>
      </c>
      <c r="P59">
        <v>11.08</v>
      </c>
      <c r="Q59">
        <v>0</v>
      </c>
      <c r="R59">
        <v>100</v>
      </c>
      <c r="S59">
        <v>6.1600000000000002E-2</v>
      </c>
      <c r="T59">
        <v>3.5999999999999997E-2</v>
      </c>
      <c r="U59">
        <v>124.32</v>
      </c>
      <c r="V59">
        <v>13714.24</v>
      </c>
      <c r="W59">
        <v>731</v>
      </c>
      <c r="X59">
        <v>109.29</v>
      </c>
      <c r="Y59">
        <v>52.56</v>
      </c>
      <c r="Z59">
        <v>1</v>
      </c>
      <c r="AA59">
        <v>0</v>
      </c>
      <c r="AB59" t="s">
        <v>35</v>
      </c>
      <c r="AC59" t="s">
        <v>36</v>
      </c>
      <c r="AD59" t="s">
        <v>37</v>
      </c>
      <c r="AE59" t="s">
        <v>38</v>
      </c>
    </row>
    <row r="60" spans="1:31" x14ac:dyDescent="0.3">
      <c r="A60" t="s">
        <v>31</v>
      </c>
      <c r="B60" t="s">
        <v>60</v>
      </c>
      <c r="C60" t="s">
        <v>41</v>
      </c>
      <c r="D60" t="s">
        <v>34</v>
      </c>
      <c r="E60">
        <v>731</v>
      </c>
      <c r="F60">
        <v>98871</v>
      </c>
      <c r="G60">
        <v>80435</v>
      </c>
      <c r="H60">
        <v>135.25</v>
      </c>
      <c r="I60">
        <v>107.18</v>
      </c>
      <c r="J60">
        <v>0.79239999999999999</v>
      </c>
      <c r="K60">
        <v>140.88999999999999</v>
      </c>
      <c r="L60">
        <v>107.19</v>
      </c>
      <c r="M60">
        <v>273.36</v>
      </c>
      <c r="N60">
        <v>34.56</v>
      </c>
      <c r="O60">
        <v>2.74</v>
      </c>
      <c r="P60">
        <v>12.04</v>
      </c>
      <c r="Q60">
        <v>0</v>
      </c>
      <c r="R60">
        <v>100</v>
      </c>
      <c r="S60">
        <v>6.3E-2</v>
      </c>
      <c r="T60">
        <v>4.1700000000000001E-2</v>
      </c>
      <c r="U60">
        <v>116.42</v>
      </c>
      <c r="V60">
        <v>11691.84</v>
      </c>
      <c r="W60">
        <v>731</v>
      </c>
      <c r="X60">
        <v>110.03</v>
      </c>
      <c r="Y60">
        <v>50.51</v>
      </c>
      <c r="Z60">
        <v>1</v>
      </c>
      <c r="AA60">
        <v>0</v>
      </c>
      <c r="AB60" t="s">
        <v>47</v>
      </c>
      <c r="AC60" t="s">
        <v>36</v>
      </c>
      <c r="AD60" t="s">
        <v>37</v>
      </c>
      <c r="AE60" t="s">
        <v>38</v>
      </c>
    </row>
    <row r="61" spans="1:31" x14ac:dyDescent="0.3">
      <c r="A61" t="s">
        <v>31</v>
      </c>
      <c r="B61" t="s">
        <v>61</v>
      </c>
      <c r="C61" t="s">
        <v>62</v>
      </c>
      <c r="D61" t="s">
        <v>34</v>
      </c>
      <c r="E61">
        <v>731</v>
      </c>
      <c r="F61">
        <v>98836</v>
      </c>
      <c r="G61">
        <v>79109</v>
      </c>
      <c r="H61">
        <v>135.21</v>
      </c>
      <c r="I61">
        <v>111.78</v>
      </c>
      <c r="J61">
        <v>0.82669999999999999</v>
      </c>
      <c r="K61">
        <v>140.11000000000001</v>
      </c>
      <c r="L61">
        <v>112.53</v>
      </c>
      <c r="M61">
        <v>269.7</v>
      </c>
      <c r="N61">
        <v>6.26</v>
      </c>
      <c r="O61">
        <v>3.42</v>
      </c>
      <c r="P61">
        <v>11.49</v>
      </c>
      <c r="Q61">
        <v>0</v>
      </c>
      <c r="R61">
        <v>100</v>
      </c>
      <c r="S61">
        <v>6.13E-2</v>
      </c>
      <c r="T61">
        <v>3.6299999999999999E-2</v>
      </c>
      <c r="U61">
        <v>101.69</v>
      </c>
      <c r="V61">
        <v>13134.18</v>
      </c>
      <c r="W61">
        <v>731</v>
      </c>
      <c r="X61">
        <v>108.22</v>
      </c>
      <c r="Y61">
        <v>52.42</v>
      </c>
      <c r="Z61">
        <v>1</v>
      </c>
      <c r="AA61">
        <v>0</v>
      </c>
      <c r="AB61" t="s">
        <v>35</v>
      </c>
      <c r="AC61" t="s">
        <v>36</v>
      </c>
      <c r="AD61" t="s">
        <v>37</v>
      </c>
      <c r="AE61" t="s">
        <v>38</v>
      </c>
    </row>
    <row r="62" spans="1:31" x14ac:dyDescent="0.3">
      <c r="A62" t="s">
        <v>31</v>
      </c>
      <c r="B62" t="s">
        <v>57</v>
      </c>
      <c r="C62" t="s">
        <v>56</v>
      </c>
      <c r="D62" t="s">
        <v>34</v>
      </c>
      <c r="E62">
        <v>731</v>
      </c>
      <c r="F62">
        <v>98724</v>
      </c>
      <c r="G62">
        <v>81130</v>
      </c>
      <c r="H62">
        <v>135.05000000000001</v>
      </c>
      <c r="I62">
        <v>108.66</v>
      </c>
      <c r="J62">
        <v>0.80459999999999998</v>
      </c>
      <c r="K62">
        <v>139.80000000000001</v>
      </c>
      <c r="L62">
        <v>109.15</v>
      </c>
      <c r="M62">
        <v>277.93</v>
      </c>
      <c r="N62">
        <v>5.66</v>
      </c>
      <c r="O62">
        <v>4.6500000000000004</v>
      </c>
      <c r="P62">
        <v>12.04</v>
      </c>
      <c r="Q62">
        <v>0</v>
      </c>
      <c r="R62">
        <v>100</v>
      </c>
      <c r="S62">
        <v>6.1100000000000002E-2</v>
      </c>
      <c r="T62">
        <v>3.5200000000000002E-2</v>
      </c>
      <c r="U62">
        <v>268.06</v>
      </c>
      <c r="V62">
        <v>15829.56</v>
      </c>
      <c r="W62">
        <v>731</v>
      </c>
      <c r="X62">
        <v>110.98</v>
      </c>
      <c r="Y62">
        <v>52.4</v>
      </c>
      <c r="Z62">
        <v>1</v>
      </c>
      <c r="AA62">
        <v>0</v>
      </c>
      <c r="AB62" t="s">
        <v>35</v>
      </c>
      <c r="AC62" t="s">
        <v>36</v>
      </c>
      <c r="AD62" t="s">
        <v>37</v>
      </c>
      <c r="AE62" t="s">
        <v>38</v>
      </c>
    </row>
    <row r="63" spans="1:31" x14ac:dyDescent="0.3">
      <c r="A63" t="s">
        <v>59</v>
      </c>
      <c r="B63" t="s">
        <v>57</v>
      </c>
      <c r="C63" t="s">
        <v>56</v>
      </c>
      <c r="D63" t="s">
        <v>34</v>
      </c>
      <c r="E63">
        <v>731</v>
      </c>
      <c r="F63">
        <v>98488</v>
      </c>
      <c r="G63">
        <v>81529</v>
      </c>
      <c r="H63">
        <v>134.72999999999999</v>
      </c>
      <c r="I63">
        <v>109.55</v>
      </c>
      <c r="J63">
        <v>0.81310000000000004</v>
      </c>
      <c r="K63">
        <v>139.75</v>
      </c>
      <c r="L63">
        <v>110.03</v>
      </c>
      <c r="M63">
        <v>277.14</v>
      </c>
      <c r="N63">
        <v>4.83</v>
      </c>
      <c r="O63">
        <v>3.69</v>
      </c>
      <c r="P63">
        <v>13.13</v>
      </c>
      <c r="Q63">
        <v>0</v>
      </c>
      <c r="R63">
        <v>100</v>
      </c>
      <c r="S63">
        <v>6.2E-2</v>
      </c>
      <c r="T63">
        <v>3.73E-2</v>
      </c>
      <c r="U63">
        <v>210.39</v>
      </c>
      <c r="V63">
        <v>12816.17</v>
      </c>
      <c r="W63">
        <v>731</v>
      </c>
      <c r="X63">
        <v>111.53</v>
      </c>
      <c r="Y63">
        <v>52.01</v>
      </c>
      <c r="Z63">
        <v>1</v>
      </c>
      <c r="AA63">
        <v>0</v>
      </c>
      <c r="AB63" t="s">
        <v>35</v>
      </c>
      <c r="AC63" t="s">
        <v>36</v>
      </c>
      <c r="AD63" t="s">
        <v>37</v>
      </c>
      <c r="AE63" t="s">
        <v>38</v>
      </c>
    </row>
    <row r="64" spans="1:31" x14ac:dyDescent="0.3">
      <c r="A64" t="s">
        <v>31</v>
      </c>
      <c r="B64" t="s">
        <v>63</v>
      </c>
      <c r="C64" t="s">
        <v>56</v>
      </c>
      <c r="D64" t="s">
        <v>34</v>
      </c>
      <c r="E64">
        <v>731</v>
      </c>
      <c r="F64">
        <v>98432</v>
      </c>
      <c r="G64">
        <v>82216</v>
      </c>
      <c r="H64">
        <v>134.65</v>
      </c>
      <c r="I64">
        <v>108.38</v>
      </c>
      <c r="J64">
        <v>0.80489999999999995</v>
      </c>
      <c r="K64">
        <v>140.31</v>
      </c>
      <c r="L64">
        <v>108.47</v>
      </c>
      <c r="M64">
        <v>278.64</v>
      </c>
      <c r="N64">
        <v>17.079999999999998</v>
      </c>
      <c r="O64">
        <v>3.83</v>
      </c>
      <c r="P64">
        <v>11.35</v>
      </c>
      <c r="Q64">
        <v>0</v>
      </c>
      <c r="R64">
        <v>100</v>
      </c>
      <c r="S64">
        <v>6.3500000000000001E-2</v>
      </c>
      <c r="T64">
        <v>4.2000000000000003E-2</v>
      </c>
      <c r="U64">
        <v>166.38</v>
      </c>
      <c r="V64">
        <v>13320.66</v>
      </c>
      <c r="W64">
        <v>731</v>
      </c>
      <c r="X64">
        <v>112.47</v>
      </c>
      <c r="Y64">
        <v>51.5</v>
      </c>
      <c r="Z64">
        <v>1</v>
      </c>
      <c r="AA64">
        <v>0</v>
      </c>
      <c r="AB64" t="s">
        <v>47</v>
      </c>
      <c r="AC64" t="s">
        <v>36</v>
      </c>
      <c r="AD64" t="s">
        <v>37</v>
      </c>
      <c r="AE64" t="s">
        <v>38</v>
      </c>
    </row>
    <row r="65" spans="1:31" x14ac:dyDescent="0.3">
      <c r="A65" t="s">
        <v>52</v>
      </c>
      <c r="B65" t="s">
        <v>48</v>
      </c>
      <c r="C65" t="s">
        <v>33</v>
      </c>
      <c r="D65" t="s">
        <v>54</v>
      </c>
      <c r="E65">
        <v>731</v>
      </c>
      <c r="F65">
        <v>98390</v>
      </c>
      <c r="G65">
        <v>78654</v>
      </c>
      <c r="H65">
        <v>134.6</v>
      </c>
      <c r="I65">
        <v>112.51</v>
      </c>
      <c r="J65">
        <v>0.83589999999999998</v>
      </c>
      <c r="K65">
        <v>139.69</v>
      </c>
      <c r="L65">
        <v>112.74</v>
      </c>
      <c r="M65">
        <v>270.73</v>
      </c>
      <c r="N65">
        <v>5.64</v>
      </c>
      <c r="O65">
        <v>4.0999999999999996</v>
      </c>
      <c r="P65">
        <v>11.22</v>
      </c>
      <c r="Q65">
        <v>0</v>
      </c>
      <c r="R65">
        <v>100</v>
      </c>
      <c r="S65">
        <v>6.1600000000000002E-2</v>
      </c>
      <c r="T65">
        <v>3.78E-2</v>
      </c>
      <c r="U65">
        <v>238.57</v>
      </c>
      <c r="V65">
        <v>11514.58</v>
      </c>
      <c r="W65">
        <v>731</v>
      </c>
      <c r="X65">
        <v>107.6</v>
      </c>
      <c r="Y65">
        <v>53.06</v>
      </c>
      <c r="Z65">
        <v>1</v>
      </c>
      <c r="AA65">
        <v>0</v>
      </c>
      <c r="AB65" t="s">
        <v>35</v>
      </c>
      <c r="AC65" t="s">
        <v>36</v>
      </c>
      <c r="AD65" t="s">
        <v>37</v>
      </c>
      <c r="AE65" t="s">
        <v>38</v>
      </c>
    </row>
    <row r="66" spans="1:31" x14ac:dyDescent="0.3">
      <c r="A66" t="s">
        <v>52</v>
      </c>
      <c r="B66" t="s">
        <v>68</v>
      </c>
      <c r="C66" t="s">
        <v>62</v>
      </c>
      <c r="D66" t="s">
        <v>54</v>
      </c>
      <c r="E66">
        <v>731</v>
      </c>
      <c r="F66">
        <v>98371</v>
      </c>
      <c r="G66">
        <v>80735</v>
      </c>
      <c r="H66">
        <v>134.57</v>
      </c>
      <c r="I66">
        <v>106.94</v>
      </c>
      <c r="J66">
        <v>0.79469999999999996</v>
      </c>
      <c r="K66">
        <v>139.08000000000001</v>
      </c>
      <c r="L66">
        <v>107.32</v>
      </c>
      <c r="M66">
        <v>273.29000000000002</v>
      </c>
      <c r="N66">
        <v>4.6100000000000003</v>
      </c>
      <c r="O66">
        <v>4.6500000000000004</v>
      </c>
      <c r="P66">
        <v>11.35</v>
      </c>
      <c r="Q66">
        <v>0</v>
      </c>
      <c r="R66">
        <v>100</v>
      </c>
      <c r="S66">
        <v>5.9299999999999999E-2</v>
      </c>
      <c r="T66">
        <v>3.3500000000000002E-2</v>
      </c>
      <c r="U66">
        <v>250.31</v>
      </c>
      <c r="V66">
        <v>11913.92</v>
      </c>
      <c r="W66">
        <v>731</v>
      </c>
      <c r="X66">
        <v>110.44</v>
      </c>
      <c r="Y66">
        <v>52.95</v>
      </c>
      <c r="Z66">
        <v>1</v>
      </c>
      <c r="AA66">
        <v>0</v>
      </c>
      <c r="AB66" t="s">
        <v>35</v>
      </c>
      <c r="AC66" t="s">
        <v>36</v>
      </c>
      <c r="AD66" t="s">
        <v>37</v>
      </c>
      <c r="AE66" t="s">
        <v>38</v>
      </c>
    </row>
    <row r="67" spans="1:31" x14ac:dyDescent="0.3">
      <c r="A67" t="s">
        <v>43</v>
      </c>
      <c r="B67" t="s">
        <v>51</v>
      </c>
      <c r="C67" t="s">
        <v>50</v>
      </c>
      <c r="D67" t="s">
        <v>34</v>
      </c>
      <c r="E67">
        <v>731</v>
      </c>
      <c r="F67">
        <v>98251</v>
      </c>
      <c r="G67">
        <v>79959</v>
      </c>
      <c r="H67">
        <v>134.41</v>
      </c>
      <c r="I67">
        <v>105.01</v>
      </c>
      <c r="J67">
        <v>0.78129999999999999</v>
      </c>
      <c r="K67">
        <v>139.65</v>
      </c>
      <c r="L67">
        <v>105.1</v>
      </c>
      <c r="M67">
        <v>272.16000000000003</v>
      </c>
      <c r="N67">
        <v>3.55</v>
      </c>
      <c r="O67">
        <v>3.56</v>
      </c>
      <c r="P67">
        <v>9.3000000000000007</v>
      </c>
      <c r="Q67">
        <v>0</v>
      </c>
      <c r="R67">
        <v>100</v>
      </c>
      <c r="S67">
        <v>6.1800000000000001E-2</v>
      </c>
      <c r="T67">
        <v>3.9E-2</v>
      </c>
      <c r="U67">
        <v>169.7</v>
      </c>
      <c r="V67">
        <v>10029.35</v>
      </c>
      <c r="W67">
        <v>731</v>
      </c>
      <c r="X67">
        <v>109.38</v>
      </c>
      <c r="Y67">
        <v>53.47</v>
      </c>
      <c r="Z67">
        <v>1</v>
      </c>
      <c r="AA67">
        <v>0</v>
      </c>
      <c r="AB67" t="s">
        <v>35</v>
      </c>
      <c r="AC67" t="s">
        <v>36</v>
      </c>
      <c r="AD67" t="s">
        <v>37</v>
      </c>
      <c r="AE67" t="s">
        <v>38</v>
      </c>
    </row>
    <row r="68" spans="1:31" x14ac:dyDescent="0.3">
      <c r="A68" t="s">
        <v>31</v>
      </c>
      <c r="B68" t="s">
        <v>58</v>
      </c>
      <c r="C68" t="s">
        <v>33</v>
      </c>
      <c r="D68" t="s">
        <v>34</v>
      </c>
      <c r="E68">
        <v>731</v>
      </c>
      <c r="F68">
        <v>98187</v>
      </c>
      <c r="G68">
        <v>78287</v>
      </c>
      <c r="H68">
        <v>134.32</v>
      </c>
      <c r="I68">
        <v>105.81</v>
      </c>
      <c r="J68">
        <v>0.78769999999999996</v>
      </c>
      <c r="K68">
        <v>138.96</v>
      </c>
      <c r="L68">
        <v>106.16</v>
      </c>
      <c r="M68">
        <v>264.98</v>
      </c>
      <c r="N68">
        <v>7.44</v>
      </c>
      <c r="O68">
        <v>4.0999999999999996</v>
      </c>
      <c r="P68">
        <v>9.85</v>
      </c>
      <c r="Q68">
        <v>0</v>
      </c>
      <c r="R68">
        <v>100</v>
      </c>
      <c r="S68">
        <v>5.9499999999999997E-2</v>
      </c>
      <c r="T68">
        <v>3.4500000000000003E-2</v>
      </c>
      <c r="U68">
        <v>209.04</v>
      </c>
      <c r="V68">
        <v>9546.77</v>
      </c>
      <c r="W68">
        <v>731</v>
      </c>
      <c r="X68">
        <v>107.1</v>
      </c>
      <c r="Y68">
        <v>52.84</v>
      </c>
      <c r="Z68">
        <v>1</v>
      </c>
      <c r="AA68">
        <v>0</v>
      </c>
      <c r="AB68" t="s">
        <v>47</v>
      </c>
      <c r="AC68" t="s">
        <v>36</v>
      </c>
      <c r="AD68" t="s">
        <v>37</v>
      </c>
      <c r="AE68" t="s">
        <v>38</v>
      </c>
    </row>
    <row r="69" spans="1:31" x14ac:dyDescent="0.3">
      <c r="A69" t="s">
        <v>43</v>
      </c>
      <c r="B69" t="s">
        <v>40</v>
      </c>
      <c r="C69" t="s">
        <v>41</v>
      </c>
      <c r="D69" t="s">
        <v>34</v>
      </c>
      <c r="E69">
        <v>731</v>
      </c>
      <c r="F69">
        <v>98116</v>
      </c>
      <c r="G69">
        <v>80266</v>
      </c>
      <c r="H69">
        <v>134.22</v>
      </c>
      <c r="I69">
        <v>106.21</v>
      </c>
      <c r="J69">
        <v>0.7913</v>
      </c>
      <c r="K69">
        <v>139.86000000000001</v>
      </c>
      <c r="L69">
        <v>106.01</v>
      </c>
      <c r="M69">
        <v>277.55</v>
      </c>
      <c r="N69">
        <v>4.2</v>
      </c>
      <c r="O69">
        <v>4.24</v>
      </c>
      <c r="P69">
        <v>10.26</v>
      </c>
      <c r="Q69">
        <v>0</v>
      </c>
      <c r="R69">
        <v>100</v>
      </c>
      <c r="S69">
        <v>6.3399999999999998E-2</v>
      </c>
      <c r="T69">
        <v>4.2000000000000003E-2</v>
      </c>
      <c r="U69">
        <v>182.94</v>
      </c>
      <c r="V69">
        <v>11711.42</v>
      </c>
      <c r="W69">
        <v>731</v>
      </c>
      <c r="X69">
        <v>109.8</v>
      </c>
      <c r="Y69">
        <v>52.06</v>
      </c>
      <c r="Z69">
        <v>1</v>
      </c>
      <c r="AA69">
        <v>0</v>
      </c>
      <c r="AB69" t="s">
        <v>35</v>
      </c>
      <c r="AC69" t="s">
        <v>36</v>
      </c>
      <c r="AD69" t="s">
        <v>37</v>
      </c>
      <c r="AE69" t="s">
        <v>38</v>
      </c>
    </row>
    <row r="70" spans="1:31" x14ac:dyDescent="0.3">
      <c r="A70" t="s">
        <v>31</v>
      </c>
      <c r="B70" t="s">
        <v>64</v>
      </c>
      <c r="C70" t="s">
        <v>62</v>
      </c>
      <c r="D70" t="s">
        <v>34</v>
      </c>
      <c r="E70">
        <v>731</v>
      </c>
      <c r="F70">
        <v>98064</v>
      </c>
      <c r="G70">
        <v>80105</v>
      </c>
      <c r="H70">
        <v>134.15</v>
      </c>
      <c r="I70">
        <v>109.8</v>
      </c>
      <c r="J70">
        <v>0.81850000000000001</v>
      </c>
      <c r="K70">
        <v>139.51</v>
      </c>
      <c r="L70">
        <v>109.65</v>
      </c>
      <c r="M70">
        <v>270.77</v>
      </c>
      <c r="N70">
        <v>4.01</v>
      </c>
      <c r="O70">
        <v>3.69</v>
      </c>
      <c r="P70">
        <v>10.81</v>
      </c>
      <c r="Q70">
        <v>0</v>
      </c>
      <c r="R70">
        <v>100</v>
      </c>
      <c r="S70">
        <v>6.2899999999999998E-2</v>
      </c>
      <c r="T70">
        <v>0.04</v>
      </c>
      <c r="U70">
        <v>167.17</v>
      </c>
      <c r="V70">
        <v>11500.97</v>
      </c>
      <c r="W70">
        <v>731</v>
      </c>
      <c r="X70">
        <v>109.58</v>
      </c>
      <c r="Y70">
        <v>53.62</v>
      </c>
      <c r="Z70">
        <v>1</v>
      </c>
      <c r="AA70">
        <v>0</v>
      </c>
      <c r="AB70" t="s">
        <v>35</v>
      </c>
      <c r="AC70" t="s">
        <v>36</v>
      </c>
      <c r="AD70" t="s">
        <v>37</v>
      </c>
      <c r="AE70" t="s">
        <v>38</v>
      </c>
    </row>
    <row r="71" spans="1:31" x14ac:dyDescent="0.3">
      <c r="A71" t="s">
        <v>39</v>
      </c>
      <c r="B71" t="s">
        <v>68</v>
      </c>
      <c r="C71" t="s">
        <v>62</v>
      </c>
      <c r="D71" t="s">
        <v>42</v>
      </c>
      <c r="E71">
        <v>731</v>
      </c>
      <c r="F71">
        <v>97864</v>
      </c>
      <c r="G71">
        <v>79100</v>
      </c>
      <c r="H71">
        <v>133.88</v>
      </c>
      <c r="I71">
        <v>109.76</v>
      </c>
      <c r="J71">
        <v>0.81979999999999997</v>
      </c>
      <c r="K71">
        <v>139.47</v>
      </c>
      <c r="L71">
        <v>109.62</v>
      </c>
      <c r="M71">
        <v>277.19</v>
      </c>
      <c r="N71">
        <v>4.55</v>
      </c>
      <c r="O71">
        <v>3.42</v>
      </c>
      <c r="P71">
        <v>11.76</v>
      </c>
      <c r="Q71">
        <v>0</v>
      </c>
      <c r="R71">
        <v>100</v>
      </c>
      <c r="S71">
        <v>6.3200000000000006E-2</v>
      </c>
      <c r="T71">
        <v>4.1799999999999997E-2</v>
      </c>
      <c r="U71">
        <v>164.73</v>
      </c>
      <c r="V71">
        <v>12467.48</v>
      </c>
      <c r="W71">
        <v>731</v>
      </c>
      <c r="X71">
        <v>108.21</v>
      </c>
      <c r="Y71">
        <v>51.36</v>
      </c>
      <c r="Z71">
        <v>1</v>
      </c>
      <c r="AA71">
        <v>0</v>
      </c>
      <c r="AB71" t="s">
        <v>35</v>
      </c>
      <c r="AC71" t="s">
        <v>36</v>
      </c>
      <c r="AD71" t="s">
        <v>37</v>
      </c>
      <c r="AE71" t="s">
        <v>38</v>
      </c>
    </row>
    <row r="72" spans="1:31" x14ac:dyDescent="0.3">
      <c r="A72" t="s">
        <v>31</v>
      </c>
      <c r="B72" t="s">
        <v>68</v>
      </c>
      <c r="C72" t="s">
        <v>62</v>
      </c>
      <c r="D72" t="s">
        <v>34</v>
      </c>
      <c r="E72">
        <v>731</v>
      </c>
      <c r="F72">
        <v>97859</v>
      </c>
      <c r="G72">
        <v>81106</v>
      </c>
      <c r="H72">
        <v>133.87</v>
      </c>
      <c r="I72">
        <v>111.2</v>
      </c>
      <c r="J72">
        <v>0.83069999999999999</v>
      </c>
      <c r="K72">
        <v>139.1</v>
      </c>
      <c r="L72">
        <v>111.42</v>
      </c>
      <c r="M72">
        <v>274.70999999999998</v>
      </c>
      <c r="N72">
        <v>4.17</v>
      </c>
      <c r="O72">
        <v>2.74</v>
      </c>
      <c r="P72">
        <v>11.08</v>
      </c>
      <c r="Q72">
        <v>0</v>
      </c>
      <c r="R72">
        <v>100</v>
      </c>
      <c r="S72">
        <v>6.1499999999999999E-2</v>
      </c>
      <c r="T72">
        <v>3.9100000000000003E-2</v>
      </c>
      <c r="U72">
        <v>138.15</v>
      </c>
      <c r="V72">
        <v>10607.57</v>
      </c>
      <c r="W72">
        <v>731</v>
      </c>
      <c r="X72">
        <v>110.95</v>
      </c>
      <c r="Y72">
        <v>51.41</v>
      </c>
      <c r="Z72">
        <v>1</v>
      </c>
      <c r="AA72">
        <v>0</v>
      </c>
      <c r="AB72" t="s">
        <v>35</v>
      </c>
      <c r="AC72" t="s">
        <v>36</v>
      </c>
      <c r="AD72" t="s">
        <v>37</v>
      </c>
      <c r="AE72" t="s">
        <v>38</v>
      </c>
    </row>
    <row r="73" spans="1:31" x14ac:dyDescent="0.3">
      <c r="A73" t="s">
        <v>43</v>
      </c>
      <c r="B73" t="s">
        <v>60</v>
      </c>
      <c r="C73" t="s">
        <v>41</v>
      </c>
      <c r="D73" t="s">
        <v>34</v>
      </c>
      <c r="E73">
        <v>731</v>
      </c>
      <c r="F73">
        <v>97418</v>
      </c>
      <c r="G73">
        <v>79821</v>
      </c>
      <c r="H73">
        <v>133.27000000000001</v>
      </c>
      <c r="I73">
        <v>105.04</v>
      </c>
      <c r="J73">
        <v>0.78820000000000001</v>
      </c>
      <c r="K73">
        <v>137.53</v>
      </c>
      <c r="L73">
        <v>105.4</v>
      </c>
      <c r="M73">
        <v>270.12</v>
      </c>
      <c r="N73">
        <v>5.5</v>
      </c>
      <c r="O73">
        <v>2.46</v>
      </c>
      <c r="P73">
        <v>10.81</v>
      </c>
      <c r="Q73">
        <v>0</v>
      </c>
      <c r="R73">
        <v>100</v>
      </c>
      <c r="S73">
        <v>0.06</v>
      </c>
      <c r="T73">
        <v>3.2000000000000001E-2</v>
      </c>
      <c r="U73">
        <v>127.99</v>
      </c>
      <c r="V73">
        <v>10033.61</v>
      </c>
      <c r="W73">
        <v>731</v>
      </c>
      <c r="X73">
        <v>109.19</v>
      </c>
      <c r="Y73">
        <v>53.14</v>
      </c>
      <c r="Z73">
        <v>1</v>
      </c>
      <c r="AA73">
        <v>0</v>
      </c>
      <c r="AB73" t="s">
        <v>35</v>
      </c>
      <c r="AC73" t="s">
        <v>36</v>
      </c>
      <c r="AD73" t="s">
        <v>37</v>
      </c>
      <c r="AE73" t="s">
        <v>38</v>
      </c>
    </row>
    <row r="74" spans="1:31" x14ac:dyDescent="0.3">
      <c r="A74" t="s">
        <v>59</v>
      </c>
      <c r="B74" t="s">
        <v>46</v>
      </c>
      <c r="C74" t="s">
        <v>41</v>
      </c>
      <c r="D74" t="s">
        <v>34</v>
      </c>
      <c r="E74">
        <v>731</v>
      </c>
      <c r="F74">
        <v>97318</v>
      </c>
      <c r="G74">
        <v>79525</v>
      </c>
      <c r="H74">
        <v>133.13</v>
      </c>
      <c r="I74">
        <v>107.37</v>
      </c>
      <c r="J74">
        <v>0.80649999999999999</v>
      </c>
      <c r="K74">
        <v>138.28</v>
      </c>
      <c r="L74">
        <v>107.87</v>
      </c>
      <c r="M74">
        <v>269.33</v>
      </c>
      <c r="N74">
        <v>13.49</v>
      </c>
      <c r="O74">
        <v>3.15</v>
      </c>
      <c r="P74">
        <v>10.4</v>
      </c>
      <c r="Q74">
        <v>0</v>
      </c>
      <c r="R74">
        <v>100</v>
      </c>
      <c r="S74">
        <v>6.5500000000000003E-2</v>
      </c>
      <c r="T74">
        <v>3.8699999999999998E-2</v>
      </c>
      <c r="U74">
        <v>148.79</v>
      </c>
      <c r="V74">
        <v>13259.79</v>
      </c>
      <c r="W74">
        <v>731</v>
      </c>
      <c r="X74">
        <v>108.79</v>
      </c>
      <c r="Y74">
        <v>53.06</v>
      </c>
      <c r="Z74">
        <v>1</v>
      </c>
      <c r="AA74">
        <v>0</v>
      </c>
      <c r="AB74" t="s">
        <v>47</v>
      </c>
      <c r="AC74" t="s">
        <v>36</v>
      </c>
      <c r="AD74" t="s">
        <v>37</v>
      </c>
      <c r="AE74" t="s">
        <v>38</v>
      </c>
    </row>
    <row r="75" spans="1:31" x14ac:dyDescent="0.3">
      <c r="A75" t="s">
        <v>43</v>
      </c>
      <c r="B75" t="s">
        <v>45</v>
      </c>
      <c r="C75" t="s">
        <v>41</v>
      </c>
      <c r="D75" t="s">
        <v>34</v>
      </c>
      <c r="E75">
        <v>731</v>
      </c>
      <c r="F75">
        <v>97227</v>
      </c>
      <c r="G75">
        <v>79353</v>
      </c>
      <c r="H75">
        <v>133.01</v>
      </c>
      <c r="I75">
        <v>111.34</v>
      </c>
      <c r="J75">
        <v>0.83709999999999996</v>
      </c>
      <c r="K75">
        <v>138.22</v>
      </c>
      <c r="L75">
        <v>111.31</v>
      </c>
      <c r="M75">
        <v>273.89999999999998</v>
      </c>
      <c r="N75">
        <v>7.75</v>
      </c>
      <c r="O75">
        <v>2.6</v>
      </c>
      <c r="P75">
        <v>13.68</v>
      </c>
      <c r="Q75">
        <v>0</v>
      </c>
      <c r="R75">
        <v>100</v>
      </c>
      <c r="S75">
        <v>6.3100000000000003E-2</v>
      </c>
      <c r="T75">
        <v>3.9199999999999999E-2</v>
      </c>
      <c r="U75">
        <v>87.25</v>
      </c>
      <c r="V75">
        <v>13377.17</v>
      </c>
      <c r="W75">
        <v>731</v>
      </c>
      <c r="X75">
        <v>108.55</v>
      </c>
      <c r="Y75">
        <v>52.25</v>
      </c>
      <c r="Z75">
        <v>1</v>
      </c>
      <c r="AA75">
        <v>0</v>
      </c>
      <c r="AB75" t="s">
        <v>47</v>
      </c>
      <c r="AC75" t="s">
        <v>36</v>
      </c>
      <c r="AD75" t="s">
        <v>37</v>
      </c>
      <c r="AE75" t="s">
        <v>38</v>
      </c>
    </row>
    <row r="76" spans="1:31" x14ac:dyDescent="0.3">
      <c r="A76" t="s">
        <v>59</v>
      </c>
      <c r="B76" t="s">
        <v>53</v>
      </c>
      <c r="C76" t="s">
        <v>41</v>
      </c>
      <c r="D76" t="s">
        <v>34</v>
      </c>
      <c r="E76">
        <v>731</v>
      </c>
      <c r="F76">
        <v>97174</v>
      </c>
      <c r="G76">
        <v>81277</v>
      </c>
      <c r="H76">
        <v>132.93</v>
      </c>
      <c r="I76">
        <v>107.54</v>
      </c>
      <c r="J76">
        <v>0.80900000000000005</v>
      </c>
      <c r="K76">
        <v>137.91999999999999</v>
      </c>
      <c r="L76">
        <v>107.22</v>
      </c>
      <c r="M76">
        <v>265.39</v>
      </c>
      <c r="N76">
        <v>15.07</v>
      </c>
      <c r="O76">
        <v>3.15</v>
      </c>
      <c r="P76">
        <v>9.99</v>
      </c>
      <c r="Q76">
        <v>0</v>
      </c>
      <c r="R76">
        <v>100</v>
      </c>
      <c r="S76">
        <v>6.3600000000000004E-2</v>
      </c>
      <c r="T76">
        <v>3.7499999999999999E-2</v>
      </c>
      <c r="U76">
        <v>160.80000000000001</v>
      </c>
      <c r="V76">
        <v>9604.2000000000007</v>
      </c>
      <c r="W76">
        <v>731</v>
      </c>
      <c r="X76">
        <v>111.19</v>
      </c>
      <c r="Y76">
        <v>53.32</v>
      </c>
      <c r="Z76">
        <v>1</v>
      </c>
      <c r="AA76">
        <v>0</v>
      </c>
      <c r="AB76" t="s">
        <v>47</v>
      </c>
      <c r="AC76" t="s">
        <v>36</v>
      </c>
      <c r="AD76" t="s">
        <v>37</v>
      </c>
      <c r="AE76" t="s">
        <v>38</v>
      </c>
    </row>
    <row r="77" spans="1:31" x14ac:dyDescent="0.3">
      <c r="A77" t="s">
        <v>59</v>
      </c>
      <c r="B77" t="s">
        <v>40</v>
      </c>
      <c r="C77" t="s">
        <v>41</v>
      </c>
      <c r="D77" t="s">
        <v>34</v>
      </c>
      <c r="E77">
        <v>731</v>
      </c>
      <c r="F77">
        <v>97131</v>
      </c>
      <c r="G77">
        <v>82530</v>
      </c>
      <c r="H77">
        <v>132.87</v>
      </c>
      <c r="I77">
        <v>109.16</v>
      </c>
      <c r="J77">
        <v>0.82150000000000001</v>
      </c>
      <c r="K77">
        <v>138.41</v>
      </c>
      <c r="L77">
        <v>109.32</v>
      </c>
      <c r="M77">
        <v>263.73</v>
      </c>
      <c r="N77">
        <v>10.25</v>
      </c>
      <c r="O77">
        <v>3.97</v>
      </c>
      <c r="P77">
        <v>10.26</v>
      </c>
      <c r="Q77">
        <v>0</v>
      </c>
      <c r="R77">
        <v>100</v>
      </c>
      <c r="S77">
        <v>6.3799999999999996E-2</v>
      </c>
      <c r="T77">
        <v>4.1700000000000001E-2</v>
      </c>
      <c r="U77">
        <v>178.47</v>
      </c>
      <c r="V77">
        <v>12771.46</v>
      </c>
      <c r="W77">
        <v>731</v>
      </c>
      <c r="X77">
        <v>112.9</v>
      </c>
      <c r="Y77">
        <v>51.22</v>
      </c>
      <c r="Z77">
        <v>1</v>
      </c>
      <c r="AA77">
        <v>0</v>
      </c>
      <c r="AB77" t="s">
        <v>47</v>
      </c>
      <c r="AC77" t="s">
        <v>36</v>
      </c>
      <c r="AD77" t="s">
        <v>37</v>
      </c>
      <c r="AE77" t="s">
        <v>38</v>
      </c>
    </row>
    <row r="78" spans="1:31" x14ac:dyDescent="0.3">
      <c r="A78" t="s">
        <v>43</v>
      </c>
      <c r="B78" t="s">
        <v>46</v>
      </c>
      <c r="C78" t="s">
        <v>41</v>
      </c>
      <c r="D78" t="s">
        <v>34</v>
      </c>
      <c r="E78">
        <v>731</v>
      </c>
      <c r="F78">
        <v>96910</v>
      </c>
      <c r="G78">
        <v>78502</v>
      </c>
      <c r="H78">
        <v>132.57</v>
      </c>
      <c r="I78">
        <v>104.44</v>
      </c>
      <c r="J78">
        <v>0.78779999999999994</v>
      </c>
      <c r="K78">
        <v>137.78</v>
      </c>
      <c r="L78">
        <v>105.08</v>
      </c>
      <c r="M78">
        <v>271.08999999999997</v>
      </c>
      <c r="N78">
        <v>5.62</v>
      </c>
      <c r="O78">
        <v>3.15</v>
      </c>
      <c r="P78">
        <v>10.67</v>
      </c>
      <c r="Q78">
        <v>0</v>
      </c>
      <c r="R78">
        <v>100</v>
      </c>
      <c r="S78">
        <v>6.2600000000000003E-2</v>
      </c>
      <c r="T78">
        <v>3.9300000000000002E-2</v>
      </c>
      <c r="U78">
        <v>207.24</v>
      </c>
      <c r="V78">
        <v>12263.58</v>
      </c>
      <c r="W78">
        <v>731</v>
      </c>
      <c r="X78">
        <v>107.39</v>
      </c>
      <c r="Y78">
        <v>52.32</v>
      </c>
      <c r="Z78">
        <v>1</v>
      </c>
      <c r="AA78">
        <v>0</v>
      </c>
      <c r="AB78" t="s">
        <v>35</v>
      </c>
      <c r="AC78" t="s">
        <v>36</v>
      </c>
      <c r="AD78" t="s">
        <v>37</v>
      </c>
      <c r="AE78" t="s">
        <v>38</v>
      </c>
    </row>
    <row r="79" spans="1:31" x14ac:dyDescent="0.3">
      <c r="A79" t="s">
        <v>59</v>
      </c>
      <c r="B79" t="s">
        <v>65</v>
      </c>
      <c r="C79" t="s">
        <v>62</v>
      </c>
      <c r="D79" t="s">
        <v>34</v>
      </c>
      <c r="E79">
        <v>731</v>
      </c>
      <c r="F79">
        <v>96852</v>
      </c>
      <c r="G79">
        <v>82007</v>
      </c>
      <c r="H79">
        <v>132.49</v>
      </c>
      <c r="I79">
        <v>109.9</v>
      </c>
      <c r="J79">
        <v>0.82950000000000002</v>
      </c>
      <c r="K79">
        <v>137.19</v>
      </c>
      <c r="L79">
        <v>109.58</v>
      </c>
      <c r="M79">
        <v>269.19</v>
      </c>
      <c r="N79">
        <v>4.55</v>
      </c>
      <c r="O79">
        <v>4.51</v>
      </c>
      <c r="P79">
        <v>12.72</v>
      </c>
      <c r="Q79">
        <v>0</v>
      </c>
      <c r="R79">
        <v>100</v>
      </c>
      <c r="S79">
        <v>5.9499999999999997E-2</v>
      </c>
      <c r="T79">
        <v>3.5400000000000001E-2</v>
      </c>
      <c r="U79">
        <v>206.74</v>
      </c>
      <c r="V79">
        <v>12790.3</v>
      </c>
      <c r="W79">
        <v>731</v>
      </c>
      <c r="X79">
        <v>112.18</v>
      </c>
      <c r="Y79">
        <v>51.38</v>
      </c>
      <c r="Z79">
        <v>1</v>
      </c>
      <c r="AA79">
        <v>0</v>
      </c>
      <c r="AB79" t="s">
        <v>35</v>
      </c>
      <c r="AC79" t="s">
        <v>36</v>
      </c>
      <c r="AD79" t="s">
        <v>37</v>
      </c>
      <c r="AE79" t="s">
        <v>38</v>
      </c>
    </row>
    <row r="80" spans="1:31" x14ac:dyDescent="0.3">
      <c r="A80" t="s">
        <v>59</v>
      </c>
      <c r="B80" t="s">
        <v>67</v>
      </c>
      <c r="C80" t="s">
        <v>50</v>
      </c>
      <c r="D80" t="s">
        <v>34</v>
      </c>
      <c r="E80">
        <v>731</v>
      </c>
      <c r="F80">
        <v>96756</v>
      </c>
      <c r="G80">
        <v>83158</v>
      </c>
      <c r="H80">
        <v>132.36000000000001</v>
      </c>
      <c r="I80">
        <v>105.92</v>
      </c>
      <c r="J80">
        <v>0.80020000000000002</v>
      </c>
      <c r="K80">
        <v>136.66999999999999</v>
      </c>
      <c r="L80">
        <v>106.04</v>
      </c>
      <c r="M80">
        <v>274.89</v>
      </c>
      <c r="N80">
        <v>7.05</v>
      </c>
      <c r="O80">
        <v>3.15</v>
      </c>
      <c r="P80">
        <v>12.72</v>
      </c>
      <c r="Q80">
        <v>0</v>
      </c>
      <c r="R80">
        <v>100</v>
      </c>
      <c r="S80">
        <v>6.0199999999999997E-2</v>
      </c>
      <c r="T80">
        <v>3.2500000000000001E-2</v>
      </c>
      <c r="U80">
        <v>208.32</v>
      </c>
      <c r="V80">
        <v>13773.03</v>
      </c>
      <c r="W80">
        <v>731</v>
      </c>
      <c r="X80">
        <v>113.76</v>
      </c>
      <c r="Y80">
        <v>52.75</v>
      </c>
      <c r="Z80">
        <v>1</v>
      </c>
      <c r="AA80">
        <v>0</v>
      </c>
      <c r="AB80" t="s">
        <v>47</v>
      </c>
      <c r="AC80" t="s">
        <v>36</v>
      </c>
      <c r="AD80" t="s">
        <v>37</v>
      </c>
      <c r="AE80" t="s">
        <v>38</v>
      </c>
    </row>
    <row r="81" spans="1:31" x14ac:dyDescent="0.3">
      <c r="A81" t="s">
        <v>43</v>
      </c>
      <c r="B81" t="s">
        <v>55</v>
      </c>
      <c r="C81" t="s">
        <v>56</v>
      </c>
      <c r="D81" t="s">
        <v>34</v>
      </c>
      <c r="E81">
        <v>731</v>
      </c>
      <c r="F81">
        <v>96719</v>
      </c>
      <c r="G81">
        <v>81103</v>
      </c>
      <c r="H81">
        <v>132.31</v>
      </c>
      <c r="I81">
        <v>106.46</v>
      </c>
      <c r="J81">
        <v>0.80459999999999998</v>
      </c>
      <c r="K81">
        <v>137.59</v>
      </c>
      <c r="L81">
        <v>106.49</v>
      </c>
      <c r="M81">
        <v>274.20999999999998</v>
      </c>
      <c r="N81">
        <v>8.68</v>
      </c>
      <c r="O81">
        <v>3.97</v>
      </c>
      <c r="P81">
        <v>13</v>
      </c>
      <c r="Q81">
        <v>0</v>
      </c>
      <c r="R81">
        <v>100</v>
      </c>
      <c r="S81">
        <v>6.4799999999999996E-2</v>
      </c>
      <c r="T81">
        <v>3.9899999999999998E-2</v>
      </c>
      <c r="U81">
        <v>172.59</v>
      </c>
      <c r="V81">
        <v>12183.34</v>
      </c>
      <c r="W81">
        <v>731</v>
      </c>
      <c r="X81">
        <v>110.95</v>
      </c>
      <c r="Y81">
        <v>51.02</v>
      </c>
      <c r="Z81">
        <v>1</v>
      </c>
      <c r="AA81">
        <v>0</v>
      </c>
      <c r="AB81" t="s">
        <v>47</v>
      </c>
      <c r="AC81" t="s">
        <v>36</v>
      </c>
      <c r="AD81" t="s">
        <v>37</v>
      </c>
      <c r="AE81" t="s">
        <v>38</v>
      </c>
    </row>
    <row r="82" spans="1:31" x14ac:dyDescent="0.3">
      <c r="A82" t="s">
        <v>39</v>
      </c>
      <c r="B82" t="s">
        <v>61</v>
      </c>
      <c r="C82" t="s">
        <v>62</v>
      </c>
      <c r="D82" t="s">
        <v>42</v>
      </c>
      <c r="E82">
        <v>731</v>
      </c>
      <c r="F82">
        <v>96660</v>
      </c>
      <c r="G82">
        <v>77433</v>
      </c>
      <c r="H82">
        <v>132.22999999999999</v>
      </c>
      <c r="I82">
        <v>104.89</v>
      </c>
      <c r="J82">
        <v>0.79320000000000002</v>
      </c>
      <c r="K82">
        <v>137.62</v>
      </c>
      <c r="L82">
        <v>104.7</v>
      </c>
      <c r="M82">
        <v>269.94</v>
      </c>
      <c r="N82">
        <v>4.5</v>
      </c>
      <c r="O82">
        <v>4.92</v>
      </c>
      <c r="P82">
        <v>10.67</v>
      </c>
      <c r="Q82">
        <v>0</v>
      </c>
      <c r="R82">
        <v>100</v>
      </c>
      <c r="S82">
        <v>6.4199999999999993E-2</v>
      </c>
      <c r="T82">
        <v>4.0800000000000003E-2</v>
      </c>
      <c r="U82">
        <v>277.27999999999997</v>
      </c>
      <c r="V82">
        <v>13673.36</v>
      </c>
      <c r="W82">
        <v>731</v>
      </c>
      <c r="X82">
        <v>105.93</v>
      </c>
      <c r="Y82">
        <v>53.51</v>
      </c>
      <c r="Z82">
        <v>1</v>
      </c>
      <c r="AA82">
        <v>0</v>
      </c>
      <c r="AB82" t="s">
        <v>35</v>
      </c>
      <c r="AC82" t="s">
        <v>36</v>
      </c>
      <c r="AD82" t="s">
        <v>37</v>
      </c>
      <c r="AE82" t="s">
        <v>38</v>
      </c>
    </row>
    <row r="83" spans="1:31" x14ac:dyDescent="0.3">
      <c r="A83" t="s">
        <v>39</v>
      </c>
      <c r="B83" t="s">
        <v>64</v>
      </c>
      <c r="C83" t="s">
        <v>62</v>
      </c>
      <c r="D83" t="s">
        <v>42</v>
      </c>
      <c r="E83">
        <v>731</v>
      </c>
      <c r="F83">
        <v>96507</v>
      </c>
      <c r="G83">
        <v>80435</v>
      </c>
      <c r="H83">
        <v>132.02000000000001</v>
      </c>
      <c r="I83">
        <v>108.3</v>
      </c>
      <c r="J83">
        <v>0.82030000000000003</v>
      </c>
      <c r="K83">
        <v>137.1</v>
      </c>
      <c r="L83">
        <v>108.81</v>
      </c>
      <c r="M83">
        <v>269.77999999999997</v>
      </c>
      <c r="N83">
        <v>4.4800000000000004</v>
      </c>
      <c r="O83">
        <v>3.83</v>
      </c>
      <c r="P83">
        <v>10.4</v>
      </c>
      <c r="Q83">
        <v>0</v>
      </c>
      <c r="R83">
        <v>100</v>
      </c>
      <c r="S83">
        <v>6.3200000000000006E-2</v>
      </c>
      <c r="T83">
        <v>3.85E-2</v>
      </c>
      <c r="U83">
        <v>172.21</v>
      </c>
      <c r="V83">
        <v>12277.89</v>
      </c>
      <c r="W83">
        <v>731</v>
      </c>
      <c r="X83">
        <v>110.03</v>
      </c>
      <c r="Y83">
        <v>51.56</v>
      </c>
      <c r="Z83">
        <v>1</v>
      </c>
      <c r="AA83">
        <v>0</v>
      </c>
      <c r="AB83" t="s">
        <v>35</v>
      </c>
      <c r="AC83" t="s">
        <v>36</v>
      </c>
      <c r="AD83" t="s">
        <v>37</v>
      </c>
      <c r="AE83" t="s">
        <v>38</v>
      </c>
    </row>
    <row r="84" spans="1:31" x14ac:dyDescent="0.3">
      <c r="A84" t="s">
        <v>43</v>
      </c>
      <c r="B84" t="s">
        <v>57</v>
      </c>
      <c r="C84" t="s">
        <v>56</v>
      </c>
      <c r="D84" t="s">
        <v>34</v>
      </c>
      <c r="E84">
        <v>731</v>
      </c>
      <c r="F84">
        <v>96365</v>
      </c>
      <c r="G84">
        <v>82181</v>
      </c>
      <c r="H84">
        <v>131.83000000000001</v>
      </c>
      <c r="I84">
        <v>107.43</v>
      </c>
      <c r="J84">
        <v>0.81489999999999996</v>
      </c>
      <c r="K84">
        <v>136.31</v>
      </c>
      <c r="L84">
        <v>107.87</v>
      </c>
      <c r="M84">
        <v>267.10000000000002</v>
      </c>
      <c r="N84">
        <v>4.43</v>
      </c>
      <c r="O84">
        <v>3.97</v>
      </c>
      <c r="P84">
        <v>10.53</v>
      </c>
      <c r="Q84">
        <v>0</v>
      </c>
      <c r="R84">
        <v>100</v>
      </c>
      <c r="S84">
        <v>6.1199999999999997E-2</v>
      </c>
      <c r="T84">
        <v>3.4000000000000002E-2</v>
      </c>
      <c r="U84">
        <v>180.46</v>
      </c>
      <c r="V84">
        <v>12756.41</v>
      </c>
      <c r="W84">
        <v>731</v>
      </c>
      <c r="X84">
        <v>112.42</v>
      </c>
      <c r="Y84">
        <v>52.37</v>
      </c>
      <c r="Z84">
        <v>1</v>
      </c>
      <c r="AA84">
        <v>0</v>
      </c>
      <c r="AB84" t="s">
        <v>35</v>
      </c>
      <c r="AC84" t="s">
        <v>36</v>
      </c>
      <c r="AD84" t="s">
        <v>37</v>
      </c>
      <c r="AE84" t="s">
        <v>38</v>
      </c>
    </row>
    <row r="85" spans="1:31" x14ac:dyDescent="0.3">
      <c r="A85" t="s">
        <v>52</v>
      </c>
      <c r="B85" t="s">
        <v>63</v>
      </c>
      <c r="C85" t="s">
        <v>56</v>
      </c>
      <c r="D85" t="s">
        <v>54</v>
      </c>
      <c r="E85">
        <v>731</v>
      </c>
      <c r="F85">
        <v>96327</v>
      </c>
      <c r="G85">
        <v>81608</v>
      </c>
      <c r="H85">
        <v>131.77000000000001</v>
      </c>
      <c r="I85">
        <v>103.96</v>
      </c>
      <c r="J85">
        <v>0.78890000000000005</v>
      </c>
      <c r="K85">
        <v>137.21</v>
      </c>
      <c r="L85">
        <v>103.95</v>
      </c>
      <c r="M85">
        <v>268.75</v>
      </c>
      <c r="N85">
        <v>5.19</v>
      </c>
      <c r="O85">
        <v>3.83</v>
      </c>
      <c r="P85">
        <v>11.49</v>
      </c>
      <c r="Q85">
        <v>0</v>
      </c>
      <c r="R85">
        <v>100</v>
      </c>
      <c r="S85">
        <v>6.54E-2</v>
      </c>
      <c r="T85">
        <v>4.1300000000000003E-2</v>
      </c>
      <c r="U85">
        <v>235.3</v>
      </c>
      <c r="V85">
        <v>10780.81</v>
      </c>
      <c r="W85">
        <v>731</v>
      </c>
      <c r="X85">
        <v>111.64</v>
      </c>
      <c r="Y85">
        <v>53.42</v>
      </c>
      <c r="Z85">
        <v>1</v>
      </c>
      <c r="AA85">
        <v>0</v>
      </c>
      <c r="AB85" t="s">
        <v>35</v>
      </c>
      <c r="AC85" t="s">
        <v>36</v>
      </c>
      <c r="AD85" t="s">
        <v>37</v>
      </c>
      <c r="AE85" t="s">
        <v>38</v>
      </c>
    </row>
    <row r="86" spans="1:31" x14ac:dyDescent="0.3">
      <c r="A86" t="s">
        <v>59</v>
      </c>
      <c r="B86" t="s">
        <v>48</v>
      </c>
      <c r="C86" t="s">
        <v>33</v>
      </c>
      <c r="D86" t="s">
        <v>34</v>
      </c>
      <c r="E86">
        <v>731</v>
      </c>
      <c r="F86">
        <v>96080</v>
      </c>
      <c r="G86">
        <v>78729</v>
      </c>
      <c r="H86">
        <v>131.44</v>
      </c>
      <c r="I86">
        <v>107.09</v>
      </c>
      <c r="J86">
        <v>0.81469999999999998</v>
      </c>
      <c r="K86">
        <v>136.41</v>
      </c>
      <c r="L86">
        <v>107.83</v>
      </c>
      <c r="M86">
        <v>270.52999999999997</v>
      </c>
      <c r="N86">
        <v>8.11</v>
      </c>
      <c r="O86">
        <v>3.56</v>
      </c>
      <c r="P86">
        <v>12.04</v>
      </c>
      <c r="Q86">
        <v>0</v>
      </c>
      <c r="R86">
        <v>100</v>
      </c>
      <c r="S86">
        <v>6.2199999999999998E-2</v>
      </c>
      <c r="T86">
        <v>3.78E-2</v>
      </c>
      <c r="U86">
        <v>162.49</v>
      </c>
      <c r="V86">
        <v>13504.75</v>
      </c>
      <c r="W86">
        <v>731</v>
      </c>
      <c r="X86">
        <v>107.7</v>
      </c>
      <c r="Y86">
        <v>52.8</v>
      </c>
      <c r="Z86">
        <v>1</v>
      </c>
      <c r="AA86">
        <v>0</v>
      </c>
      <c r="AB86" t="s">
        <v>47</v>
      </c>
      <c r="AC86" t="s">
        <v>36</v>
      </c>
      <c r="AD86" t="s">
        <v>37</v>
      </c>
      <c r="AE86" t="s">
        <v>38</v>
      </c>
    </row>
    <row r="87" spans="1:31" x14ac:dyDescent="0.3">
      <c r="A87" t="s">
        <v>52</v>
      </c>
      <c r="B87" t="s">
        <v>40</v>
      </c>
      <c r="C87" t="s">
        <v>41</v>
      </c>
      <c r="D87" t="s">
        <v>54</v>
      </c>
      <c r="E87">
        <v>731</v>
      </c>
      <c r="F87">
        <v>96049</v>
      </c>
      <c r="G87">
        <v>79767</v>
      </c>
      <c r="H87">
        <v>131.38999999999999</v>
      </c>
      <c r="I87">
        <v>104.84</v>
      </c>
      <c r="J87">
        <v>0.79790000000000005</v>
      </c>
      <c r="K87">
        <v>136.52000000000001</v>
      </c>
      <c r="L87">
        <v>105.1</v>
      </c>
      <c r="M87">
        <v>265.20999999999998</v>
      </c>
      <c r="N87">
        <v>12.26</v>
      </c>
      <c r="O87">
        <v>3.69</v>
      </c>
      <c r="P87">
        <v>12.45</v>
      </c>
      <c r="Q87">
        <v>0</v>
      </c>
      <c r="R87">
        <v>100</v>
      </c>
      <c r="S87">
        <v>6.59E-2</v>
      </c>
      <c r="T87">
        <v>3.9E-2</v>
      </c>
      <c r="U87">
        <v>168.85</v>
      </c>
      <c r="V87">
        <v>12341.92</v>
      </c>
      <c r="W87">
        <v>731</v>
      </c>
      <c r="X87">
        <v>109.12</v>
      </c>
      <c r="Y87">
        <v>52.35</v>
      </c>
      <c r="Z87">
        <v>1</v>
      </c>
      <c r="AA87">
        <v>0</v>
      </c>
      <c r="AB87" t="s">
        <v>47</v>
      </c>
      <c r="AC87" t="s">
        <v>36</v>
      </c>
      <c r="AD87" t="s">
        <v>37</v>
      </c>
      <c r="AE87" t="s">
        <v>38</v>
      </c>
    </row>
    <row r="88" spans="1:31" x14ac:dyDescent="0.3">
      <c r="A88" t="s">
        <v>52</v>
      </c>
      <c r="B88" t="s">
        <v>61</v>
      </c>
      <c r="C88" t="s">
        <v>62</v>
      </c>
      <c r="D88" t="s">
        <v>54</v>
      </c>
      <c r="E88">
        <v>731</v>
      </c>
      <c r="F88">
        <v>95814</v>
      </c>
      <c r="G88">
        <v>81321</v>
      </c>
      <c r="H88">
        <v>131.07</v>
      </c>
      <c r="I88">
        <v>107.12</v>
      </c>
      <c r="J88">
        <v>0.81720000000000004</v>
      </c>
      <c r="K88">
        <v>136.31</v>
      </c>
      <c r="L88">
        <v>107.1</v>
      </c>
      <c r="M88">
        <v>270.18</v>
      </c>
      <c r="N88">
        <v>6.68</v>
      </c>
      <c r="O88">
        <v>3.42</v>
      </c>
      <c r="P88">
        <v>13</v>
      </c>
      <c r="Q88">
        <v>0</v>
      </c>
      <c r="R88">
        <v>100</v>
      </c>
      <c r="S88">
        <v>6.2700000000000006E-2</v>
      </c>
      <c r="T88">
        <v>3.9899999999999998E-2</v>
      </c>
      <c r="U88">
        <v>117.66</v>
      </c>
      <c r="V88">
        <v>17050.64</v>
      </c>
      <c r="W88">
        <v>731</v>
      </c>
      <c r="X88">
        <v>111.25</v>
      </c>
      <c r="Y88">
        <v>52.38</v>
      </c>
      <c r="Z88">
        <v>1</v>
      </c>
      <c r="AA88">
        <v>0</v>
      </c>
      <c r="AB88" t="s">
        <v>35</v>
      </c>
      <c r="AC88" t="s">
        <v>36</v>
      </c>
      <c r="AD88" t="s">
        <v>37</v>
      </c>
      <c r="AE88" t="s">
        <v>38</v>
      </c>
    </row>
    <row r="89" spans="1:31" x14ac:dyDescent="0.3">
      <c r="A89" t="s">
        <v>31</v>
      </c>
      <c r="B89" t="s">
        <v>44</v>
      </c>
      <c r="C89" t="s">
        <v>41</v>
      </c>
      <c r="D89" t="s">
        <v>34</v>
      </c>
      <c r="E89">
        <v>731</v>
      </c>
      <c r="F89">
        <v>95801</v>
      </c>
      <c r="G89">
        <v>80253</v>
      </c>
      <c r="H89">
        <v>131.05000000000001</v>
      </c>
      <c r="I89">
        <v>106.91</v>
      </c>
      <c r="J89">
        <v>0.81569999999999998</v>
      </c>
      <c r="K89">
        <v>136.27000000000001</v>
      </c>
      <c r="L89">
        <v>107.22</v>
      </c>
      <c r="M89">
        <v>268.33</v>
      </c>
      <c r="N89">
        <v>4.24</v>
      </c>
      <c r="O89">
        <v>3.15</v>
      </c>
      <c r="P89">
        <v>11.35</v>
      </c>
      <c r="Q89">
        <v>0</v>
      </c>
      <c r="R89">
        <v>100</v>
      </c>
      <c r="S89">
        <v>6.4199999999999993E-2</v>
      </c>
      <c r="T89">
        <v>3.9800000000000002E-2</v>
      </c>
      <c r="U89">
        <v>177.4</v>
      </c>
      <c r="V89">
        <v>11085.85</v>
      </c>
      <c r="W89">
        <v>731</v>
      </c>
      <c r="X89">
        <v>109.79</v>
      </c>
      <c r="Y89">
        <v>51.91</v>
      </c>
      <c r="Z89">
        <v>1</v>
      </c>
      <c r="AA89">
        <v>0</v>
      </c>
      <c r="AB89" t="s">
        <v>35</v>
      </c>
      <c r="AC89" t="s">
        <v>36</v>
      </c>
      <c r="AD89" t="s">
        <v>37</v>
      </c>
      <c r="AE89" t="s">
        <v>38</v>
      </c>
    </row>
    <row r="90" spans="1:31" x14ac:dyDescent="0.3">
      <c r="A90" t="s">
        <v>59</v>
      </c>
      <c r="B90" t="s">
        <v>58</v>
      </c>
      <c r="C90" t="s">
        <v>33</v>
      </c>
      <c r="D90" t="s">
        <v>34</v>
      </c>
      <c r="E90">
        <v>731</v>
      </c>
      <c r="F90">
        <v>95789</v>
      </c>
      <c r="G90">
        <v>82711</v>
      </c>
      <c r="H90">
        <v>131.04</v>
      </c>
      <c r="I90">
        <v>104.31</v>
      </c>
      <c r="J90">
        <v>0.79610000000000003</v>
      </c>
      <c r="K90">
        <v>136.44999999999999</v>
      </c>
      <c r="L90">
        <v>104.11</v>
      </c>
      <c r="M90">
        <v>272.66000000000003</v>
      </c>
      <c r="N90">
        <v>5.29</v>
      </c>
      <c r="O90">
        <v>3.01</v>
      </c>
      <c r="P90">
        <v>11.63</v>
      </c>
      <c r="Q90">
        <v>0</v>
      </c>
      <c r="R90">
        <v>100</v>
      </c>
      <c r="S90">
        <v>6.4199999999999993E-2</v>
      </c>
      <c r="T90">
        <v>4.1300000000000003E-2</v>
      </c>
      <c r="U90">
        <v>183.51</v>
      </c>
      <c r="V90">
        <v>12582.21</v>
      </c>
      <c r="W90">
        <v>731</v>
      </c>
      <c r="X90">
        <v>113.15</v>
      </c>
      <c r="Y90">
        <v>52.85</v>
      </c>
      <c r="Z90">
        <v>1</v>
      </c>
      <c r="AA90">
        <v>0</v>
      </c>
      <c r="AB90" t="s">
        <v>35</v>
      </c>
      <c r="AC90" t="s">
        <v>36</v>
      </c>
      <c r="AD90" t="s">
        <v>37</v>
      </c>
      <c r="AE90" t="s">
        <v>38</v>
      </c>
    </row>
    <row r="91" spans="1:31" x14ac:dyDescent="0.3">
      <c r="A91" t="s">
        <v>43</v>
      </c>
      <c r="B91" t="s">
        <v>32</v>
      </c>
      <c r="C91" t="s">
        <v>33</v>
      </c>
      <c r="D91" t="s">
        <v>34</v>
      </c>
      <c r="E91">
        <v>731</v>
      </c>
      <c r="F91">
        <v>95606</v>
      </c>
      <c r="G91">
        <v>82839</v>
      </c>
      <c r="H91">
        <v>130.79</v>
      </c>
      <c r="I91">
        <v>104</v>
      </c>
      <c r="J91">
        <v>0.79520000000000002</v>
      </c>
      <c r="K91">
        <v>136.18</v>
      </c>
      <c r="L91">
        <v>104.65</v>
      </c>
      <c r="M91">
        <v>269.69</v>
      </c>
      <c r="N91">
        <v>7.59</v>
      </c>
      <c r="O91">
        <v>3.01</v>
      </c>
      <c r="P91">
        <v>10.26</v>
      </c>
      <c r="Q91">
        <v>0</v>
      </c>
      <c r="R91">
        <v>100</v>
      </c>
      <c r="S91">
        <v>6.3500000000000001E-2</v>
      </c>
      <c r="T91">
        <v>4.1200000000000001E-2</v>
      </c>
      <c r="U91">
        <v>169.15</v>
      </c>
      <c r="V91">
        <v>12025.47</v>
      </c>
      <c r="W91">
        <v>731</v>
      </c>
      <c r="X91">
        <v>113.32</v>
      </c>
      <c r="Y91">
        <v>53</v>
      </c>
      <c r="Z91">
        <v>1</v>
      </c>
      <c r="AA91">
        <v>0</v>
      </c>
      <c r="AB91" t="s">
        <v>47</v>
      </c>
      <c r="AC91" t="s">
        <v>36</v>
      </c>
      <c r="AD91" t="s">
        <v>37</v>
      </c>
      <c r="AE91" t="s">
        <v>38</v>
      </c>
    </row>
    <row r="92" spans="1:31" x14ac:dyDescent="0.3">
      <c r="A92" t="s">
        <v>59</v>
      </c>
      <c r="B92" t="s">
        <v>60</v>
      </c>
      <c r="C92" t="s">
        <v>41</v>
      </c>
      <c r="D92" t="s">
        <v>34</v>
      </c>
      <c r="E92">
        <v>731</v>
      </c>
      <c r="F92">
        <v>95522</v>
      </c>
      <c r="G92">
        <v>77941</v>
      </c>
      <c r="H92">
        <v>130.66999999999999</v>
      </c>
      <c r="I92">
        <v>109.02</v>
      </c>
      <c r="J92">
        <v>0.83430000000000004</v>
      </c>
      <c r="K92">
        <v>135.99</v>
      </c>
      <c r="L92">
        <v>109.53</v>
      </c>
      <c r="M92">
        <v>272.95</v>
      </c>
      <c r="N92">
        <v>6.34</v>
      </c>
      <c r="O92">
        <v>4.0999999999999996</v>
      </c>
      <c r="P92">
        <v>12.45</v>
      </c>
      <c r="Q92">
        <v>0</v>
      </c>
      <c r="R92">
        <v>100</v>
      </c>
      <c r="S92">
        <v>6.25E-2</v>
      </c>
      <c r="T92">
        <v>4.07E-2</v>
      </c>
      <c r="U92">
        <v>224.28</v>
      </c>
      <c r="V92">
        <v>11961.54</v>
      </c>
      <c r="W92">
        <v>731</v>
      </c>
      <c r="X92">
        <v>106.62</v>
      </c>
      <c r="Y92">
        <v>52.6</v>
      </c>
      <c r="Z92">
        <v>1</v>
      </c>
      <c r="AA92">
        <v>0</v>
      </c>
      <c r="AB92" t="s">
        <v>35</v>
      </c>
      <c r="AC92" t="s">
        <v>36</v>
      </c>
      <c r="AD92" t="s">
        <v>37</v>
      </c>
      <c r="AE92" t="s">
        <v>38</v>
      </c>
    </row>
    <row r="93" spans="1:31" x14ac:dyDescent="0.3">
      <c r="A93" t="s">
        <v>52</v>
      </c>
      <c r="B93" t="s">
        <v>58</v>
      </c>
      <c r="C93" t="s">
        <v>33</v>
      </c>
      <c r="D93" t="s">
        <v>54</v>
      </c>
      <c r="E93">
        <v>731</v>
      </c>
      <c r="F93">
        <v>95358</v>
      </c>
      <c r="G93">
        <v>80040</v>
      </c>
      <c r="H93">
        <v>130.44999999999999</v>
      </c>
      <c r="I93">
        <v>103.44</v>
      </c>
      <c r="J93">
        <v>0.79300000000000004</v>
      </c>
      <c r="K93">
        <v>135.66999999999999</v>
      </c>
      <c r="L93">
        <v>103.59</v>
      </c>
      <c r="M93">
        <v>269.37</v>
      </c>
      <c r="N93">
        <v>4.55</v>
      </c>
      <c r="O93">
        <v>3.83</v>
      </c>
      <c r="P93">
        <v>12.31</v>
      </c>
      <c r="Q93">
        <v>0</v>
      </c>
      <c r="R93">
        <v>100</v>
      </c>
      <c r="S93">
        <v>6.5000000000000002E-2</v>
      </c>
      <c r="T93">
        <v>0.04</v>
      </c>
      <c r="U93">
        <v>181.16</v>
      </c>
      <c r="V93">
        <v>10735.25</v>
      </c>
      <c r="W93">
        <v>731</v>
      </c>
      <c r="X93">
        <v>109.49</v>
      </c>
      <c r="Y93">
        <v>52.55</v>
      </c>
      <c r="Z93">
        <v>1</v>
      </c>
      <c r="AA93">
        <v>0</v>
      </c>
      <c r="AB93" t="s">
        <v>35</v>
      </c>
      <c r="AC93" t="s">
        <v>36</v>
      </c>
      <c r="AD93" t="s">
        <v>37</v>
      </c>
      <c r="AE93" t="s">
        <v>38</v>
      </c>
    </row>
    <row r="94" spans="1:31" x14ac:dyDescent="0.3">
      <c r="A94" t="s">
        <v>52</v>
      </c>
      <c r="B94" t="s">
        <v>66</v>
      </c>
      <c r="C94" t="s">
        <v>62</v>
      </c>
      <c r="D94" t="s">
        <v>54</v>
      </c>
      <c r="E94">
        <v>731</v>
      </c>
      <c r="F94">
        <v>95309</v>
      </c>
      <c r="G94">
        <v>81120</v>
      </c>
      <c r="H94">
        <v>130.38</v>
      </c>
      <c r="I94">
        <v>105.84</v>
      </c>
      <c r="J94">
        <v>0.81169999999999998</v>
      </c>
      <c r="K94">
        <v>135.49</v>
      </c>
      <c r="L94">
        <v>106.06</v>
      </c>
      <c r="M94">
        <v>262.13</v>
      </c>
      <c r="N94">
        <v>4.33</v>
      </c>
      <c r="O94">
        <v>3.69</v>
      </c>
      <c r="P94">
        <v>10.53</v>
      </c>
      <c r="Q94">
        <v>0</v>
      </c>
      <c r="R94">
        <v>100</v>
      </c>
      <c r="S94">
        <v>6.4799999999999996E-2</v>
      </c>
      <c r="T94">
        <v>3.9199999999999999E-2</v>
      </c>
      <c r="U94">
        <v>216.15</v>
      </c>
      <c r="V94">
        <v>10575.91</v>
      </c>
      <c r="W94">
        <v>731</v>
      </c>
      <c r="X94">
        <v>110.97</v>
      </c>
      <c r="Y94">
        <v>52.1</v>
      </c>
      <c r="Z94">
        <v>1</v>
      </c>
      <c r="AA94">
        <v>0</v>
      </c>
      <c r="AB94" t="s">
        <v>35</v>
      </c>
      <c r="AC94" t="s">
        <v>36</v>
      </c>
      <c r="AD94" t="s">
        <v>37</v>
      </c>
      <c r="AE94" t="s">
        <v>38</v>
      </c>
    </row>
    <row r="95" spans="1:31" x14ac:dyDescent="0.3">
      <c r="A95" t="s">
        <v>39</v>
      </c>
      <c r="B95" t="s">
        <v>44</v>
      </c>
      <c r="C95" t="s">
        <v>41</v>
      </c>
      <c r="D95" t="s">
        <v>42</v>
      </c>
      <c r="E95">
        <v>731</v>
      </c>
      <c r="F95">
        <v>94620</v>
      </c>
      <c r="G95">
        <v>82469</v>
      </c>
      <c r="H95">
        <v>129.44</v>
      </c>
      <c r="I95">
        <v>106.36</v>
      </c>
      <c r="J95">
        <v>0.82169999999999999</v>
      </c>
      <c r="K95">
        <v>134.41</v>
      </c>
      <c r="L95">
        <v>106.49</v>
      </c>
      <c r="M95">
        <v>274.68</v>
      </c>
      <c r="N95">
        <v>6.93</v>
      </c>
      <c r="O95">
        <v>2.33</v>
      </c>
      <c r="P95">
        <v>12.45</v>
      </c>
      <c r="Q95">
        <v>0</v>
      </c>
      <c r="R95">
        <v>100</v>
      </c>
      <c r="S95">
        <v>6.2700000000000006E-2</v>
      </c>
      <c r="T95">
        <v>3.8399999999999997E-2</v>
      </c>
      <c r="U95">
        <v>107.95</v>
      </c>
      <c r="V95">
        <v>15930.59</v>
      </c>
      <c r="W95">
        <v>731</v>
      </c>
      <c r="X95">
        <v>112.82</v>
      </c>
      <c r="Y95">
        <v>51.55</v>
      </c>
      <c r="Z95">
        <v>1</v>
      </c>
      <c r="AA95">
        <v>0</v>
      </c>
      <c r="AB95" t="s">
        <v>35</v>
      </c>
      <c r="AC95" t="s">
        <v>36</v>
      </c>
      <c r="AD95" t="s">
        <v>37</v>
      </c>
      <c r="AE95" t="s">
        <v>38</v>
      </c>
    </row>
    <row r="96" spans="1:31" x14ac:dyDescent="0.3">
      <c r="A96" t="s">
        <v>52</v>
      </c>
      <c r="B96" t="s">
        <v>45</v>
      </c>
      <c r="C96" t="s">
        <v>41</v>
      </c>
      <c r="D96" t="s">
        <v>54</v>
      </c>
      <c r="E96">
        <v>731</v>
      </c>
      <c r="F96">
        <v>94436</v>
      </c>
      <c r="G96">
        <v>79488</v>
      </c>
      <c r="H96">
        <v>129.19</v>
      </c>
      <c r="I96">
        <v>107.46</v>
      </c>
      <c r="J96">
        <v>0.83179999999999998</v>
      </c>
      <c r="K96">
        <v>134.32</v>
      </c>
      <c r="L96">
        <v>108.01</v>
      </c>
      <c r="M96">
        <v>272.02</v>
      </c>
      <c r="N96">
        <v>4.49</v>
      </c>
      <c r="O96">
        <v>4.0999999999999996</v>
      </c>
      <c r="P96">
        <v>12.18</v>
      </c>
      <c r="Q96">
        <v>0</v>
      </c>
      <c r="R96">
        <v>100</v>
      </c>
      <c r="S96">
        <v>6.5199999999999994E-2</v>
      </c>
      <c r="T96">
        <v>3.9699999999999999E-2</v>
      </c>
      <c r="U96">
        <v>218.3</v>
      </c>
      <c r="V96">
        <v>14306.19</v>
      </c>
      <c r="W96">
        <v>731</v>
      </c>
      <c r="X96">
        <v>108.74</v>
      </c>
      <c r="Y96">
        <v>51.79</v>
      </c>
      <c r="Z96">
        <v>1</v>
      </c>
      <c r="AA96">
        <v>0</v>
      </c>
      <c r="AB96" t="s">
        <v>35</v>
      </c>
      <c r="AC96" t="s">
        <v>36</v>
      </c>
      <c r="AD96" t="s">
        <v>37</v>
      </c>
      <c r="AE96" t="s">
        <v>38</v>
      </c>
    </row>
    <row r="97" spans="1:31" x14ac:dyDescent="0.3">
      <c r="A97" t="s">
        <v>43</v>
      </c>
      <c r="B97" t="s">
        <v>68</v>
      </c>
      <c r="C97" t="s">
        <v>62</v>
      </c>
      <c r="D97" t="s">
        <v>34</v>
      </c>
      <c r="E97">
        <v>731</v>
      </c>
      <c r="F97">
        <v>94225</v>
      </c>
      <c r="G97">
        <v>81837</v>
      </c>
      <c r="H97">
        <v>128.9</v>
      </c>
      <c r="I97">
        <v>106.85</v>
      </c>
      <c r="J97">
        <v>0.82889999999999997</v>
      </c>
      <c r="K97">
        <v>134.1</v>
      </c>
      <c r="L97">
        <v>107.16</v>
      </c>
      <c r="M97">
        <v>268.77</v>
      </c>
      <c r="N97">
        <v>4.1100000000000003</v>
      </c>
      <c r="O97">
        <v>4.92</v>
      </c>
      <c r="P97">
        <v>11.49</v>
      </c>
      <c r="Q97">
        <v>0</v>
      </c>
      <c r="R97">
        <v>100</v>
      </c>
      <c r="S97">
        <v>6.4299999999999996E-2</v>
      </c>
      <c r="T97">
        <v>4.0300000000000002E-2</v>
      </c>
      <c r="U97">
        <v>204.42</v>
      </c>
      <c r="V97">
        <v>13591.7</v>
      </c>
      <c r="W97">
        <v>731</v>
      </c>
      <c r="X97">
        <v>111.95</v>
      </c>
      <c r="Y97">
        <v>52.09</v>
      </c>
      <c r="Z97">
        <v>1</v>
      </c>
      <c r="AA97">
        <v>0</v>
      </c>
      <c r="AB97" t="s">
        <v>35</v>
      </c>
      <c r="AC97" t="s">
        <v>36</v>
      </c>
      <c r="AD97" t="s">
        <v>37</v>
      </c>
      <c r="AE97" t="s">
        <v>38</v>
      </c>
    </row>
    <row r="98" spans="1:31" x14ac:dyDescent="0.3">
      <c r="A98" t="s">
        <v>43</v>
      </c>
      <c r="B98" t="s">
        <v>58</v>
      </c>
      <c r="C98" t="s">
        <v>33</v>
      </c>
      <c r="D98" t="s">
        <v>34</v>
      </c>
      <c r="E98">
        <v>731</v>
      </c>
      <c r="F98">
        <v>94143</v>
      </c>
      <c r="G98">
        <v>81381</v>
      </c>
      <c r="H98">
        <v>128.79</v>
      </c>
      <c r="I98">
        <v>106.05</v>
      </c>
      <c r="J98">
        <v>0.82350000000000001</v>
      </c>
      <c r="K98">
        <v>133.82</v>
      </c>
      <c r="L98">
        <v>106.33</v>
      </c>
      <c r="M98">
        <v>266.43</v>
      </c>
      <c r="N98">
        <v>6.2</v>
      </c>
      <c r="O98">
        <v>3.28</v>
      </c>
      <c r="P98">
        <v>11.08</v>
      </c>
      <c r="Q98">
        <v>0</v>
      </c>
      <c r="R98">
        <v>100</v>
      </c>
      <c r="S98">
        <v>6.3299999999999995E-2</v>
      </c>
      <c r="T98">
        <v>3.9100000000000003E-2</v>
      </c>
      <c r="U98">
        <v>168.89</v>
      </c>
      <c r="V98">
        <v>13885.07</v>
      </c>
      <c r="W98">
        <v>731</v>
      </c>
      <c r="X98">
        <v>111.33</v>
      </c>
      <c r="Y98">
        <v>51.17</v>
      </c>
      <c r="Z98">
        <v>1</v>
      </c>
      <c r="AA98">
        <v>0</v>
      </c>
      <c r="AB98" t="s">
        <v>35</v>
      </c>
      <c r="AC98" t="s">
        <v>36</v>
      </c>
      <c r="AD98" t="s">
        <v>37</v>
      </c>
      <c r="AE98" t="s">
        <v>38</v>
      </c>
    </row>
    <row r="99" spans="1:31" x14ac:dyDescent="0.3">
      <c r="A99" t="s">
        <v>52</v>
      </c>
      <c r="B99" t="s">
        <v>64</v>
      </c>
      <c r="C99" t="s">
        <v>62</v>
      </c>
      <c r="D99" t="s">
        <v>54</v>
      </c>
      <c r="E99">
        <v>731</v>
      </c>
      <c r="F99">
        <v>94023</v>
      </c>
      <c r="G99">
        <v>80051</v>
      </c>
      <c r="H99">
        <v>128.62</v>
      </c>
      <c r="I99">
        <v>103.72</v>
      </c>
      <c r="J99">
        <v>0.80640000000000001</v>
      </c>
      <c r="K99">
        <v>134.32</v>
      </c>
      <c r="L99">
        <v>103.66</v>
      </c>
      <c r="M99">
        <v>267.56</v>
      </c>
      <c r="N99">
        <v>4.1500000000000004</v>
      </c>
      <c r="O99">
        <v>3.01</v>
      </c>
      <c r="P99">
        <v>12.45</v>
      </c>
      <c r="Q99">
        <v>0</v>
      </c>
      <c r="R99">
        <v>100</v>
      </c>
      <c r="S99">
        <v>6.5100000000000005E-2</v>
      </c>
      <c r="T99">
        <v>4.4299999999999999E-2</v>
      </c>
      <c r="U99">
        <v>114.83</v>
      </c>
      <c r="V99">
        <v>11741.82</v>
      </c>
      <c r="W99">
        <v>731</v>
      </c>
      <c r="X99">
        <v>109.51</v>
      </c>
      <c r="Y99">
        <v>52.64</v>
      </c>
      <c r="Z99">
        <v>1</v>
      </c>
      <c r="AA99">
        <v>0</v>
      </c>
      <c r="AB99" t="s">
        <v>35</v>
      </c>
      <c r="AC99" t="s">
        <v>36</v>
      </c>
      <c r="AD99" t="s">
        <v>37</v>
      </c>
      <c r="AE99" t="s">
        <v>38</v>
      </c>
    </row>
    <row r="100" spans="1:31" x14ac:dyDescent="0.3">
      <c r="A100" t="s">
        <v>59</v>
      </c>
      <c r="B100" t="s">
        <v>63</v>
      </c>
      <c r="C100" t="s">
        <v>56</v>
      </c>
      <c r="D100" t="s">
        <v>34</v>
      </c>
      <c r="E100">
        <v>731</v>
      </c>
      <c r="F100">
        <v>93854</v>
      </c>
      <c r="G100">
        <v>78707</v>
      </c>
      <c r="H100">
        <v>128.38999999999999</v>
      </c>
      <c r="I100">
        <v>102.24</v>
      </c>
      <c r="J100">
        <v>0.79630000000000001</v>
      </c>
      <c r="K100">
        <v>133.04</v>
      </c>
      <c r="L100">
        <v>102.41</v>
      </c>
      <c r="M100">
        <v>266.76</v>
      </c>
      <c r="N100">
        <v>5.22</v>
      </c>
      <c r="O100">
        <v>2.87</v>
      </c>
      <c r="P100">
        <v>11.63</v>
      </c>
      <c r="Q100">
        <v>0</v>
      </c>
      <c r="R100">
        <v>100</v>
      </c>
      <c r="S100">
        <v>6.2799999999999995E-2</v>
      </c>
      <c r="T100">
        <v>3.6200000000000003E-2</v>
      </c>
      <c r="U100">
        <v>121.36</v>
      </c>
      <c r="V100">
        <v>12266.59</v>
      </c>
      <c r="W100">
        <v>731</v>
      </c>
      <c r="X100">
        <v>107.67</v>
      </c>
      <c r="Y100">
        <v>52.73</v>
      </c>
      <c r="Z100">
        <v>1</v>
      </c>
      <c r="AA100">
        <v>0</v>
      </c>
      <c r="AB100" t="s">
        <v>35</v>
      </c>
      <c r="AC100" t="s">
        <v>36</v>
      </c>
      <c r="AD100" t="s">
        <v>37</v>
      </c>
      <c r="AE100" t="s">
        <v>38</v>
      </c>
    </row>
    <row r="101" spans="1:31" x14ac:dyDescent="0.3">
      <c r="A101" t="s">
        <v>39</v>
      </c>
      <c r="B101" t="s">
        <v>45</v>
      </c>
      <c r="C101" t="s">
        <v>41</v>
      </c>
      <c r="D101" t="s">
        <v>42</v>
      </c>
      <c r="E101">
        <v>731</v>
      </c>
      <c r="F101">
        <v>92556</v>
      </c>
      <c r="G101">
        <v>78777</v>
      </c>
      <c r="H101">
        <v>126.62</v>
      </c>
      <c r="I101">
        <v>102.91</v>
      </c>
      <c r="J101">
        <v>0.81279999999999997</v>
      </c>
      <c r="K101">
        <v>131.72999999999999</v>
      </c>
      <c r="L101">
        <v>103.66</v>
      </c>
      <c r="M101">
        <v>270.20999999999998</v>
      </c>
      <c r="N101">
        <v>6.85</v>
      </c>
      <c r="O101">
        <v>3.56</v>
      </c>
      <c r="P101">
        <v>12.86</v>
      </c>
      <c r="Q101">
        <v>0</v>
      </c>
      <c r="R101">
        <v>100</v>
      </c>
      <c r="S101">
        <v>6.7400000000000002E-2</v>
      </c>
      <c r="T101">
        <v>4.0399999999999998E-2</v>
      </c>
      <c r="U101">
        <v>160.09</v>
      </c>
      <c r="V101">
        <v>14961.71</v>
      </c>
      <c r="W101">
        <v>731</v>
      </c>
      <c r="X101">
        <v>107.77</v>
      </c>
      <c r="Y101">
        <v>51.89</v>
      </c>
      <c r="Z101">
        <v>1</v>
      </c>
      <c r="AA101">
        <v>0</v>
      </c>
      <c r="AB101" t="s">
        <v>35</v>
      </c>
      <c r="AC101" t="s">
        <v>36</v>
      </c>
      <c r="AD101" t="s">
        <v>37</v>
      </c>
      <c r="AE101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F308-81F0-4EB8-BC67-61FEB365200E}">
  <dimension ref="A1:H3"/>
  <sheetViews>
    <sheetView workbookViewId="0"/>
  </sheetViews>
  <sheetFormatPr defaultRowHeight="14.4" x14ac:dyDescent="0.3"/>
  <cols>
    <col min="1" max="1" width="28.8867187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9.77734375" bestFit="1" customWidth="1"/>
    <col min="6" max="6" width="20.44140625" bestFit="1" customWidth="1"/>
    <col min="7" max="7" width="24.88671875" bestFit="1" customWidth="1"/>
    <col min="8" max="8" width="24.6640625" bestFit="1" customWidth="1"/>
  </cols>
  <sheetData>
    <row r="1" spans="1:8" x14ac:dyDescent="0.3">
      <c r="A1" t="s">
        <v>27</v>
      </c>
      <c r="B1" t="s">
        <v>69</v>
      </c>
      <c r="C1" t="s">
        <v>5</v>
      </c>
      <c r="D1" t="s">
        <v>13</v>
      </c>
      <c r="E1" t="s">
        <v>70</v>
      </c>
      <c r="F1" t="s">
        <v>71</v>
      </c>
      <c r="G1" t="s">
        <v>20</v>
      </c>
      <c r="H1" t="s">
        <v>21</v>
      </c>
    </row>
    <row r="2" spans="1:8" x14ac:dyDescent="0.3">
      <c r="A2" t="s">
        <v>35</v>
      </c>
      <c r="B2">
        <v>77</v>
      </c>
      <c r="C2">
        <v>7697620</v>
      </c>
      <c r="D2">
        <v>5.07</v>
      </c>
      <c r="E2">
        <v>3.59</v>
      </c>
      <c r="F2">
        <v>11.14</v>
      </c>
      <c r="G2">
        <v>13423.2</v>
      </c>
      <c r="H2">
        <v>933332.94</v>
      </c>
    </row>
    <row r="3" spans="1:8" x14ac:dyDescent="0.3">
      <c r="A3" t="s">
        <v>47</v>
      </c>
      <c r="B3">
        <v>23</v>
      </c>
      <c r="C3">
        <v>2277962</v>
      </c>
      <c r="D3">
        <v>12.11</v>
      </c>
      <c r="E3">
        <v>3.37</v>
      </c>
      <c r="F3">
        <v>11.5</v>
      </c>
      <c r="G3">
        <v>3870.36</v>
      </c>
      <c r="H3">
        <v>281106.48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23D4-CE44-4183-83B3-A0E66CCC49C1}">
  <dimension ref="A1:H2"/>
  <sheetViews>
    <sheetView workbookViewId="0"/>
  </sheetViews>
  <sheetFormatPr defaultRowHeight="14.4" x14ac:dyDescent="0.3"/>
  <cols>
    <col min="1" max="1" width="33.33203125" bestFit="1" customWidth="1"/>
    <col min="2" max="2" width="17.33203125" bestFit="1" customWidth="1"/>
    <col min="3" max="3" width="16.77734375" bestFit="1" customWidth="1"/>
    <col min="4" max="4" width="17.21875" bestFit="1" customWidth="1"/>
    <col min="5" max="5" width="11.77734375" bestFit="1" customWidth="1"/>
    <col min="6" max="6" width="16.88671875" bestFit="1" customWidth="1"/>
    <col min="7" max="7" width="24.88671875" bestFit="1" customWidth="1"/>
    <col min="8" max="8" width="24.6640625" bestFit="1" customWidth="1"/>
  </cols>
  <sheetData>
    <row r="1" spans="1:8" x14ac:dyDescent="0.3">
      <c r="A1" t="s">
        <v>28</v>
      </c>
      <c r="B1" t="s">
        <v>69</v>
      </c>
      <c r="C1" t="s">
        <v>5</v>
      </c>
      <c r="D1" t="s">
        <v>72</v>
      </c>
      <c r="E1" t="s">
        <v>73</v>
      </c>
      <c r="F1" t="s">
        <v>13</v>
      </c>
      <c r="G1" t="s">
        <v>20</v>
      </c>
      <c r="H1" t="s">
        <v>21</v>
      </c>
    </row>
    <row r="2" spans="1:8" x14ac:dyDescent="0.3">
      <c r="A2" t="s">
        <v>36</v>
      </c>
      <c r="B2">
        <v>100</v>
      </c>
      <c r="C2">
        <v>9975582</v>
      </c>
      <c r="D2">
        <v>0.79810000000000003</v>
      </c>
      <c r="E2">
        <v>6.0900000000000003E-2</v>
      </c>
      <c r="F2">
        <v>6.69</v>
      </c>
      <c r="G2">
        <v>17293.560000000001</v>
      </c>
      <c r="H2">
        <v>1214439.42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2D1F-E864-4C73-BA0F-4EC10257EF86}">
  <dimension ref="A1:F2"/>
  <sheetViews>
    <sheetView workbookViewId="0"/>
  </sheetViews>
  <sheetFormatPr defaultRowHeight="14.4" x14ac:dyDescent="0.3"/>
  <cols>
    <col min="1" max="1" width="26.109375" bestFit="1" customWidth="1"/>
    <col min="2" max="2" width="17.33203125" bestFit="1" customWidth="1"/>
    <col min="3" max="3" width="16.77734375" bestFit="1" customWidth="1"/>
    <col min="4" max="4" width="19.77734375" bestFit="1" customWidth="1"/>
    <col min="5" max="5" width="26.109375" bestFit="1" customWidth="1"/>
    <col min="6" max="6" width="33" bestFit="1" customWidth="1"/>
  </cols>
  <sheetData>
    <row r="1" spans="1:6" x14ac:dyDescent="0.3">
      <c r="A1" t="s">
        <v>29</v>
      </c>
      <c r="B1" t="s">
        <v>69</v>
      </c>
      <c r="C1" t="s">
        <v>5</v>
      </c>
      <c r="D1" t="s">
        <v>74</v>
      </c>
      <c r="E1" t="s">
        <v>25</v>
      </c>
      <c r="F1" t="s">
        <v>75</v>
      </c>
    </row>
    <row r="2" spans="1:6" x14ac:dyDescent="0.3">
      <c r="A2" t="s">
        <v>37</v>
      </c>
      <c r="B2">
        <v>100</v>
      </c>
      <c r="C2">
        <v>9975582</v>
      </c>
      <c r="D2">
        <v>100</v>
      </c>
      <c r="E2">
        <v>1</v>
      </c>
      <c r="F2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6920-68A2-4A9A-98E9-20F327F4B492}">
  <dimension ref="A1:G11"/>
  <sheetViews>
    <sheetView workbookViewId="0"/>
  </sheetViews>
  <sheetFormatPr defaultRowHeight="14.4" x14ac:dyDescent="0.3"/>
  <cols>
    <col min="1" max="1" width="16.109375" bestFit="1" customWidth="1"/>
    <col min="2" max="2" width="28.88671875" bestFit="1" customWidth="1"/>
    <col min="3" max="3" width="33.33203125" bestFit="1" customWidth="1"/>
    <col min="4" max="4" width="17.33203125" bestFit="1" customWidth="1"/>
    <col min="5" max="5" width="16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2</v>
      </c>
      <c r="B1" t="s">
        <v>27</v>
      </c>
      <c r="C1" t="s">
        <v>28</v>
      </c>
      <c r="D1" t="s">
        <v>69</v>
      </c>
      <c r="E1" t="s">
        <v>5</v>
      </c>
      <c r="F1" t="s">
        <v>20</v>
      </c>
      <c r="G1" t="s">
        <v>21</v>
      </c>
    </row>
    <row r="2" spans="1:7" x14ac:dyDescent="0.3">
      <c r="A2" t="s">
        <v>56</v>
      </c>
      <c r="B2" t="s">
        <v>35</v>
      </c>
      <c r="C2" t="s">
        <v>36</v>
      </c>
      <c r="D2">
        <v>11</v>
      </c>
      <c r="E2">
        <v>1095447</v>
      </c>
      <c r="F2">
        <v>1950.64</v>
      </c>
      <c r="G2">
        <v>139760.19</v>
      </c>
    </row>
    <row r="3" spans="1:7" x14ac:dyDescent="0.3">
      <c r="A3" t="s">
        <v>56</v>
      </c>
      <c r="B3" t="s">
        <v>47</v>
      </c>
      <c r="C3" t="s">
        <v>36</v>
      </c>
      <c r="D3">
        <v>4</v>
      </c>
      <c r="E3">
        <v>394632</v>
      </c>
      <c r="F3">
        <v>669.68</v>
      </c>
      <c r="G3">
        <v>49966.1</v>
      </c>
    </row>
    <row r="4" spans="1:7" x14ac:dyDescent="0.3">
      <c r="A4" t="s">
        <v>62</v>
      </c>
      <c r="B4" t="s">
        <v>35</v>
      </c>
      <c r="C4" t="s">
        <v>36</v>
      </c>
      <c r="D4">
        <v>22</v>
      </c>
      <c r="E4">
        <v>2173838</v>
      </c>
      <c r="F4">
        <v>3710.35</v>
      </c>
      <c r="G4">
        <v>269090.77</v>
      </c>
    </row>
    <row r="5" spans="1:7" x14ac:dyDescent="0.3">
      <c r="A5" t="s">
        <v>62</v>
      </c>
      <c r="B5" t="s">
        <v>47</v>
      </c>
      <c r="C5" t="s">
        <v>36</v>
      </c>
      <c r="D5">
        <v>3</v>
      </c>
      <c r="E5">
        <v>301460</v>
      </c>
      <c r="F5">
        <v>528.04</v>
      </c>
      <c r="G5">
        <v>38703.25</v>
      </c>
    </row>
    <row r="6" spans="1:7" x14ac:dyDescent="0.3">
      <c r="A6" t="s">
        <v>33</v>
      </c>
      <c r="B6" t="s">
        <v>35</v>
      </c>
      <c r="C6" t="s">
        <v>36</v>
      </c>
      <c r="D6">
        <v>11</v>
      </c>
      <c r="E6">
        <v>1102973</v>
      </c>
      <c r="F6">
        <v>1992.32</v>
      </c>
      <c r="G6">
        <v>133596.99</v>
      </c>
    </row>
    <row r="7" spans="1:7" x14ac:dyDescent="0.3">
      <c r="A7" t="s">
        <v>33</v>
      </c>
      <c r="B7" t="s">
        <v>47</v>
      </c>
      <c r="C7" t="s">
        <v>36</v>
      </c>
      <c r="D7">
        <v>4</v>
      </c>
      <c r="E7">
        <v>394223</v>
      </c>
      <c r="F7">
        <v>707</v>
      </c>
      <c r="G7">
        <v>47285.34</v>
      </c>
    </row>
    <row r="8" spans="1:7" x14ac:dyDescent="0.3">
      <c r="A8" t="s">
        <v>41</v>
      </c>
      <c r="B8" t="s">
        <v>35</v>
      </c>
      <c r="C8" t="s">
        <v>36</v>
      </c>
      <c r="D8">
        <v>21</v>
      </c>
      <c r="E8">
        <v>2109488</v>
      </c>
      <c r="F8">
        <v>3695.09</v>
      </c>
      <c r="G8">
        <v>245217.25</v>
      </c>
    </row>
    <row r="9" spans="1:7" x14ac:dyDescent="0.3">
      <c r="A9" t="s">
        <v>41</v>
      </c>
      <c r="B9" t="s">
        <v>47</v>
      </c>
      <c r="C9" t="s">
        <v>36</v>
      </c>
      <c r="D9">
        <v>9</v>
      </c>
      <c r="E9">
        <v>891722</v>
      </c>
      <c r="F9">
        <v>1424.58</v>
      </c>
      <c r="G9">
        <v>107233.66</v>
      </c>
    </row>
    <row r="10" spans="1:7" x14ac:dyDescent="0.3">
      <c r="A10" t="s">
        <v>50</v>
      </c>
      <c r="B10" t="s">
        <v>35</v>
      </c>
      <c r="C10" t="s">
        <v>36</v>
      </c>
      <c r="D10">
        <v>12</v>
      </c>
      <c r="E10">
        <v>1215874</v>
      </c>
      <c r="F10">
        <v>2074.8000000000002</v>
      </c>
      <c r="G10">
        <v>145667.74</v>
      </c>
    </row>
    <row r="11" spans="1:7" x14ac:dyDescent="0.3">
      <c r="A11" t="s">
        <v>50</v>
      </c>
      <c r="B11" t="s">
        <v>47</v>
      </c>
      <c r="C11" t="s">
        <v>36</v>
      </c>
      <c r="D11">
        <v>3</v>
      </c>
      <c r="E11">
        <v>295925</v>
      </c>
      <c r="F11">
        <v>541.05999999999995</v>
      </c>
      <c r="G11">
        <v>37918.129999999997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415E-98FC-4DCF-9D17-573CEEFC0C45}">
  <dimension ref="A1:U24"/>
  <sheetViews>
    <sheetView workbookViewId="0"/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0.109375" bestFit="1" customWidth="1"/>
    <col min="7" max="7" width="19.44140625" bestFit="1" customWidth="1"/>
    <col min="8" max="8" width="13.109375" bestFit="1" customWidth="1"/>
    <col min="9" max="9" width="16.88671875" bestFit="1" customWidth="1"/>
    <col min="10" max="10" width="15.6640625" bestFit="1" customWidth="1"/>
    <col min="11" max="11" width="16.33203125" bestFit="1" customWidth="1"/>
    <col min="12" max="12" width="19.77734375" bestFit="1" customWidth="1"/>
    <col min="13" max="13" width="15.6640625" bestFit="1" customWidth="1"/>
    <col min="14" max="14" width="7.77734375" bestFit="1" customWidth="1"/>
    <col min="15" max="15" width="14.33203125" bestFit="1" customWidth="1"/>
    <col min="16" max="16" width="26.109375" bestFit="1" customWidth="1"/>
    <col min="17" max="18" width="28.88671875" bestFit="1" customWidth="1"/>
    <col min="19" max="19" width="33.33203125" bestFit="1" customWidth="1"/>
    <col min="20" max="20" width="26.109375" bestFit="1" customWidth="1"/>
    <col min="21" max="21" width="25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3">
      <c r="A2" t="s">
        <v>39</v>
      </c>
      <c r="B2" t="s">
        <v>46</v>
      </c>
      <c r="C2" t="s">
        <v>41</v>
      </c>
      <c r="D2" t="s">
        <v>42</v>
      </c>
      <c r="E2">
        <v>105408</v>
      </c>
      <c r="F2">
        <v>81982</v>
      </c>
      <c r="G2">
        <v>144.19999999999999</v>
      </c>
      <c r="H2">
        <v>0.75829999999999997</v>
      </c>
      <c r="I2">
        <v>8.6300000000000008</v>
      </c>
      <c r="J2">
        <v>2.87</v>
      </c>
      <c r="K2">
        <v>10.81</v>
      </c>
      <c r="L2">
        <v>0</v>
      </c>
      <c r="M2">
        <v>100</v>
      </c>
      <c r="N2">
        <v>5.7500000000000002E-2</v>
      </c>
      <c r="O2">
        <v>3.3099999999999997E-2</v>
      </c>
      <c r="P2">
        <v>1</v>
      </c>
      <c r="Q2">
        <v>0</v>
      </c>
      <c r="R2" t="s">
        <v>47</v>
      </c>
      <c r="S2" t="s">
        <v>36</v>
      </c>
      <c r="T2" t="s">
        <v>37</v>
      </c>
      <c r="U2" t="s">
        <v>38</v>
      </c>
    </row>
    <row r="3" spans="1:21" x14ac:dyDescent="0.3">
      <c r="A3" t="s">
        <v>39</v>
      </c>
      <c r="B3" t="s">
        <v>58</v>
      </c>
      <c r="C3" t="s">
        <v>33</v>
      </c>
      <c r="D3" t="s">
        <v>42</v>
      </c>
      <c r="E3">
        <v>104350</v>
      </c>
      <c r="F3">
        <v>79658</v>
      </c>
      <c r="G3">
        <v>142.75</v>
      </c>
      <c r="H3">
        <v>0.78439999999999999</v>
      </c>
      <c r="I3">
        <v>9.42</v>
      </c>
      <c r="J3">
        <v>3.28</v>
      </c>
      <c r="K3">
        <v>10.53</v>
      </c>
      <c r="L3">
        <v>0</v>
      </c>
      <c r="M3">
        <v>100</v>
      </c>
      <c r="N3">
        <v>5.6899999999999999E-2</v>
      </c>
      <c r="O3">
        <v>3.5000000000000003E-2</v>
      </c>
      <c r="P3">
        <v>1</v>
      </c>
      <c r="Q3">
        <v>0</v>
      </c>
      <c r="R3" t="s">
        <v>47</v>
      </c>
      <c r="S3" t="s">
        <v>36</v>
      </c>
      <c r="T3" t="s">
        <v>37</v>
      </c>
      <c r="U3" t="s">
        <v>38</v>
      </c>
    </row>
    <row r="4" spans="1:21" x14ac:dyDescent="0.3">
      <c r="A4" t="s">
        <v>39</v>
      </c>
      <c r="B4" t="s">
        <v>60</v>
      </c>
      <c r="C4" t="s">
        <v>41</v>
      </c>
      <c r="D4" t="s">
        <v>42</v>
      </c>
      <c r="E4">
        <v>102173</v>
      </c>
      <c r="F4">
        <v>78454</v>
      </c>
      <c r="G4">
        <v>139.77000000000001</v>
      </c>
      <c r="H4">
        <v>0.81630000000000003</v>
      </c>
      <c r="I4">
        <v>7.08</v>
      </c>
      <c r="J4">
        <v>3.56</v>
      </c>
      <c r="K4">
        <v>11.63</v>
      </c>
      <c r="L4">
        <v>0</v>
      </c>
      <c r="M4">
        <v>100</v>
      </c>
      <c r="N4">
        <v>5.7599999999999998E-2</v>
      </c>
      <c r="O4">
        <v>3.5299999999999998E-2</v>
      </c>
      <c r="P4">
        <v>1</v>
      </c>
      <c r="Q4">
        <v>0</v>
      </c>
      <c r="R4" t="s">
        <v>47</v>
      </c>
      <c r="S4" t="s">
        <v>36</v>
      </c>
      <c r="T4" t="s">
        <v>37</v>
      </c>
      <c r="U4" t="s">
        <v>38</v>
      </c>
    </row>
    <row r="5" spans="1:21" x14ac:dyDescent="0.3">
      <c r="A5" t="s">
        <v>39</v>
      </c>
      <c r="B5" t="s">
        <v>65</v>
      </c>
      <c r="C5" t="s">
        <v>62</v>
      </c>
      <c r="D5" t="s">
        <v>42</v>
      </c>
      <c r="E5">
        <v>101392</v>
      </c>
      <c r="F5">
        <v>79167</v>
      </c>
      <c r="G5">
        <v>138.69999999999999</v>
      </c>
      <c r="H5">
        <v>0.78310000000000002</v>
      </c>
      <c r="I5">
        <v>9.18</v>
      </c>
      <c r="J5">
        <v>2.74</v>
      </c>
      <c r="K5">
        <v>10.81</v>
      </c>
      <c r="L5">
        <v>0</v>
      </c>
      <c r="M5">
        <v>100</v>
      </c>
      <c r="N5">
        <v>6.1199999999999997E-2</v>
      </c>
      <c r="O5">
        <v>3.7699999999999997E-2</v>
      </c>
      <c r="P5">
        <v>1</v>
      </c>
      <c r="Q5">
        <v>0</v>
      </c>
      <c r="R5" t="s">
        <v>47</v>
      </c>
      <c r="S5" t="s">
        <v>36</v>
      </c>
      <c r="T5" t="s">
        <v>37</v>
      </c>
      <c r="U5" t="s">
        <v>38</v>
      </c>
    </row>
    <row r="6" spans="1:21" x14ac:dyDescent="0.3">
      <c r="A6" t="s">
        <v>59</v>
      </c>
      <c r="B6" t="s">
        <v>44</v>
      </c>
      <c r="C6" t="s">
        <v>41</v>
      </c>
      <c r="D6" t="s">
        <v>34</v>
      </c>
      <c r="E6">
        <v>100371</v>
      </c>
      <c r="F6">
        <v>80505</v>
      </c>
      <c r="G6">
        <v>137.31</v>
      </c>
      <c r="H6">
        <v>0.78790000000000004</v>
      </c>
      <c r="I6">
        <v>28.61</v>
      </c>
      <c r="J6">
        <v>4.0999999999999996</v>
      </c>
      <c r="K6">
        <v>10.67</v>
      </c>
      <c r="L6">
        <v>0</v>
      </c>
      <c r="M6">
        <v>100</v>
      </c>
      <c r="N6">
        <v>6.2399999999999997E-2</v>
      </c>
      <c r="O6">
        <v>4.2299999999999997E-2</v>
      </c>
      <c r="P6">
        <v>1</v>
      </c>
      <c r="Q6">
        <v>0</v>
      </c>
      <c r="R6" t="s">
        <v>47</v>
      </c>
      <c r="S6" t="s">
        <v>36</v>
      </c>
      <c r="T6" t="s">
        <v>37</v>
      </c>
      <c r="U6" t="s">
        <v>38</v>
      </c>
    </row>
    <row r="7" spans="1:21" x14ac:dyDescent="0.3">
      <c r="A7" t="s">
        <v>31</v>
      </c>
      <c r="B7" t="s">
        <v>55</v>
      </c>
      <c r="C7" t="s">
        <v>56</v>
      </c>
      <c r="D7" t="s">
        <v>34</v>
      </c>
      <c r="E7">
        <v>100358</v>
      </c>
      <c r="F7">
        <v>81106</v>
      </c>
      <c r="G7">
        <v>137.29</v>
      </c>
      <c r="H7">
        <v>0.79120000000000001</v>
      </c>
      <c r="I7">
        <v>8.34</v>
      </c>
      <c r="J7">
        <v>3.15</v>
      </c>
      <c r="K7">
        <v>13.41</v>
      </c>
      <c r="L7">
        <v>0</v>
      </c>
      <c r="M7">
        <v>100</v>
      </c>
      <c r="N7">
        <v>5.8500000000000003E-2</v>
      </c>
      <c r="O7">
        <v>3.6900000000000002E-2</v>
      </c>
      <c r="P7">
        <v>1</v>
      </c>
      <c r="Q7">
        <v>0</v>
      </c>
      <c r="R7" t="s">
        <v>47</v>
      </c>
      <c r="S7" t="s">
        <v>36</v>
      </c>
      <c r="T7" t="s">
        <v>37</v>
      </c>
      <c r="U7" t="s">
        <v>38</v>
      </c>
    </row>
    <row r="8" spans="1:21" x14ac:dyDescent="0.3">
      <c r="A8" t="s">
        <v>59</v>
      </c>
      <c r="B8" t="s">
        <v>68</v>
      </c>
      <c r="C8" t="s">
        <v>62</v>
      </c>
      <c r="D8" t="s">
        <v>34</v>
      </c>
      <c r="E8">
        <v>100244</v>
      </c>
      <c r="F8">
        <v>80051</v>
      </c>
      <c r="G8">
        <v>137.13</v>
      </c>
      <c r="H8">
        <v>0.79269999999999996</v>
      </c>
      <c r="I8">
        <v>14.16</v>
      </c>
      <c r="J8">
        <v>3.15</v>
      </c>
      <c r="K8">
        <v>11.22</v>
      </c>
      <c r="L8">
        <v>0</v>
      </c>
      <c r="M8">
        <v>100</v>
      </c>
      <c r="N8">
        <v>6.0199999999999997E-2</v>
      </c>
      <c r="O8">
        <v>3.3700000000000001E-2</v>
      </c>
      <c r="P8">
        <v>1</v>
      </c>
      <c r="Q8">
        <v>0</v>
      </c>
      <c r="R8" t="s">
        <v>47</v>
      </c>
      <c r="S8" t="s">
        <v>36</v>
      </c>
      <c r="T8" t="s">
        <v>37</v>
      </c>
      <c r="U8" t="s">
        <v>38</v>
      </c>
    </row>
    <row r="9" spans="1:21" x14ac:dyDescent="0.3">
      <c r="A9" t="s">
        <v>59</v>
      </c>
      <c r="B9" t="s">
        <v>51</v>
      </c>
      <c r="C9" t="s">
        <v>50</v>
      </c>
      <c r="D9" t="s">
        <v>34</v>
      </c>
      <c r="E9">
        <v>99870</v>
      </c>
      <c r="F9">
        <v>81397</v>
      </c>
      <c r="G9">
        <v>136.62</v>
      </c>
      <c r="H9">
        <v>0.81</v>
      </c>
      <c r="I9">
        <v>7.95</v>
      </c>
      <c r="J9">
        <v>3.01</v>
      </c>
      <c r="K9">
        <v>12.45</v>
      </c>
      <c r="L9">
        <v>0</v>
      </c>
      <c r="M9">
        <v>100</v>
      </c>
      <c r="N9">
        <v>6.0100000000000001E-2</v>
      </c>
      <c r="O9">
        <v>3.4500000000000003E-2</v>
      </c>
      <c r="P9">
        <v>1</v>
      </c>
      <c r="Q9">
        <v>0</v>
      </c>
      <c r="R9" t="s">
        <v>47</v>
      </c>
      <c r="S9" t="s">
        <v>36</v>
      </c>
      <c r="T9" t="s">
        <v>37</v>
      </c>
      <c r="U9" t="s">
        <v>38</v>
      </c>
    </row>
    <row r="10" spans="1:21" x14ac:dyDescent="0.3">
      <c r="A10" t="s">
        <v>31</v>
      </c>
      <c r="B10" t="s">
        <v>65</v>
      </c>
      <c r="C10" t="s">
        <v>62</v>
      </c>
      <c r="D10" t="s">
        <v>34</v>
      </c>
      <c r="E10">
        <v>99824</v>
      </c>
      <c r="F10">
        <v>81584</v>
      </c>
      <c r="G10">
        <v>136.56</v>
      </c>
      <c r="H10">
        <v>0.7873</v>
      </c>
      <c r="I10">
        <v>20.12</v>
      </c>
      <c r="J10">
        <v>3.15</v>
      </c>
      <c r="K10">
        <v>12.31</v>
      </c>
      <c r="L10">
        <v>0</v>
      </c>
      <c r="M10">
        <v>100</v>
      </c>
      <c r="N10">
        <v>6.0699999999999997E-2</v>
      </c>
      <c r="O10">
        <v>3.5400000000000001E-2</v>
      </c>
      <c r="P10">
        <v>1</v>
      </c>
      <c r="Q10">
        <v>0</v>
      </c>
      <c r="R10" t="s">
        <v>47</v>
      </c>
      <c r="S10" t="s">
        <v>36</v>
      </c>
      <c r="T10" t="s">
        <v>37</v>
      </c>
      <c r="U10" t="s">
        <v>38</v>
      </c>
    </row>
    <row r="11" spans="1:21" x14ac:dyDescent="0.3">
      <c r="A11" t="s">
        <v>52</v>
      </c>
      <c r="B11" t="s">
        <v>49</v>
      </c>
      <c r="C11" t="s">
        <v>50</v>
      </c>
      <c r="D11" t="s">
        <v>54</v>
      </c>
      <c r="E11">
        <v>99299</v>
      </c>
      <c r="F11">
        <v>81255</v>
      </c>
      <c r="G11">
        <v>135.84</v>
      </c>
      <c r="H11">
        <v>0.78559999999999997</v>
      </c>
      <c r="I11">
        <v>7.42</v>
      </c>
      <c r="J11">
        <v>4.0999999999999996</v>
      </c>
      <c r="K11">
        <v>10.67</v>
      </c>
      <c r="L11">
        <v>0</v>
      </c>
      <c r="M11">
        <v>100</v>
      </c>
      <c r="N11">
        <v>5.9400000000000001E-2</v>
      </c>
      <c r="O11">
        <v>3.2500000000000001E-2</v>
      </c>
      <c r="P11">
        <v>1</v>
      </c>
      <c r="Q11">
        <v>0</v>
      </c>
      <c r="R11" t="s">
        <v>47</v>
      </c>
      <c r="S11" t="s">
        <v>36</v>
      </c>
      <c r="T11" t="s">
        <v>37</v>
      </c>
      <c r="U11" t="s">
        <v>38</v>
      </c>
    </row>
    <row r="12" spans="1:21" x14ac:dyDescent="0.3">
      <c r="A12" t="s">
        <v>52</v>
      </c>
      <c r="B12" t="s">
        <v>55</v>
      </c>
      <c r="C12" t="s">
        <v>56</v>
      </c>
      <c r="D12" t="s">
        <v>54</v>
      </c>
      <c r="E12">
        <v>99123</v>
      </c>
      <c r="F12">
        <v>79952</v>
      </c>
      <c r="G12">
        <v>135.6</v>
      </c>
      <c r="H12">
        <v>0.79369999999999996</v>
      </c>
      <c r="I12">
        <v>8.26</v>
      </c>
      <c r="J12">
        <v>3.56</v>
      </c>
      <c r="K12">
        <v>11.9</v>
      </c>
      <c r="L12">
        <v>0</v>
      </c>
      <c r="M12">
        <v>100</v>
      </c>
      <c r="N12">
        <v>6.0400000000000002E-2</v>
      </c>
      <c r="O12">
        <v>3.5999999999999997E-2</v>
      </c>
      <c r="P12">
        <v>1</v>
      </c>
      <c r="Q12">
        <v>0</v>
      </c>
      <c r="R12" t="s">
        <v>47</v>
      </c>
      <c r="S12" t="s">
        <v>36</v>
      </c>
      <c r="T12" t="s">
        <v>37</v>
      </c>
      <c r="U12" t="s">
        <v>38</v>
      </c>
    </row>
    <row r="13" spans="1:21" x14ac:dyDescent="0.3">
      <c r="A13" t="s">
        <v>31</v>
      </c>
      <c r="B13" t="s">
        <v>60</v>
      </c>
      <c r="C13" t="s">
        <v>41</v>
      </c>
      <c r="D13" t="s">
        <v>34</v>
      </c>
      <c r="E13">
        <v>98871</v>
      </c>
      <c r="F13">
        <v>80435</v>
      </c>
      <c r="G13">
        <v>135.25</v>
      </c>
      <c r="H13">
        <v>0.79239999999999999</v>
      </c>
      <c r="I13">
        <v>34.56</v>
      </c>
      <c r="J13">
        <v>2.74</v>
      </c>
      <c r="K13">
        <v>12.04</v>
      </c>
      <c r="L13">
        <v>0</v>
      </c>
      <c r="M13">
        <v>100</v>
      </c>
      <c r="N13">
        <v>6.3E-2</v>
      </c>
      <c r="O13">
        <v>4.1700000000000001E-2</v>
      </c>
      <c r="P13">
        <v>1</v>
      </c>
      <c r="Q13">
        <v>0</v>
      </c>
      <c r="R13" t="s">
        <v>47</v>
      </c>
      <c r="S13" t="s">
        <v>36</v>
      </c>
      <c r="T13" t="s">
        <v>37</v>
      </c>
      <c r="U13" t="s">
        <v>38</v>
      </c>
    </row>
    <row r="14" spans="1:21" x14ac:dyDescent="0.3">
      <c r="A14" t="s">
        <v>31</v>
      </c>
      <c r="B14" t="s">
        <v>63</v>
      </c>
      <c r="C14" t="s">
        <v>56</v>
      </c>
      <c r="D14" t="s">
        <v>34</v>
      </c>
      <c r="E14">
        <v>98432</v>
      </c>
      <c r="F14">
        <v>82216</v>
      </c>
      <c r="G14">
        <v>134.65</v>
      </c>
      <c r="H14">
        <v>0.80489999999999995</v>
      </c>
      <c r="I14">
        <v>17.079999999999998</v>
      </c>
      <c r="J14">
        <v>3.83</v>
      </c>
      <c r="K14">
        <v>11.35</v>
      </c>
      <c r="L14">
        <v>0</v>
      </c>
      <c r="M14">
        <v>100</v>
      </c>
      <c r="N14">
        <v>6.3500000000000001E-2</v>
      </c>
      <c r="O14">
        <v>4.2000000000000003E-2</v>
      </c>
      <c r="P14">
        <v>1</v>
      </c>
      <c r="Q14">
        <v>0</v>
      </c>
      <c r="R14" t="s">
        <v>47</v>
      </c>
      <c r="S14" t="s">
        <v>36</v>
      </c>
      <c r="T14" t="s">
        <v>37</v>
      </c>
      <c r="U14" t="s">
        <v>38</v>
      </c>
    </row>
    <row r="15" spans="1:21" x14ac:dyDescent="0.3">
      <c r="A15" t="s">
        <v>31</v>
      </c>
      <c r="B15" t="s">
        <v>58</v>
      </c>
      <c r="C15" t="s">
        <v>33</v>
      </c>
      <c r="D15" t="s">
        <v>34</v>
      </c>
      <c r="E15">
        <v>98187</v>
      </c>
      <c r="F15">
        <v>78287</v>
      </c>
      <c r="G15">
        <v>134.32</v>
      </c>
      <c r="H15">
        <v>0.78769999999999996</v>
      </c>
      <c r="I15">
        <v>7.44</v>
      </c>
      <c r="J15">
        <v>4.0999999999999996</v>
      </c>
      <c r="K15">
        <v>9.85</v>
      </c>
      <c r="L15">
        <v>0</v>
      </c>
      <c r="M15">
        <v>100</v>
      </c>
      <c r="N15">
        <v>5.9499999999999997E-2</v>
      </c>
      <c r="O15">
        <v>3.4500000000000003E-2</v>
      </c>
      <c r="P15">
        <v>1</v>
      </c>
      <c r="Q15">
        <v>0</v>
      </c>
      <c r="R15" t="s">
        <v>47</v>
      </c>
      <c r="S15" t="s">
        <v>36</v>
      </c>
      <c r="T15" t="s">
        <v>37</v>
      </c>
      <c r="U15" t="s">
        <v>38</v>
      </c>
    </row>
    <row r="16" spans="1:21" x14ac:dyDescent="0.3">
      <c r="A16" t="s">
        <v>59</v>
      </c>
      <c r="B16" t="s">
        <v>46</v>
      </c>
      <c r="C16" t="s">
        <v>41</v>
      </c>
      <c r="D16" t="s">
        <v>34</v>
      </c>
      <c r="E16">
        <v>97318</v>
      </c>
      <c r="F16">
        <v>79525</v>
      </c>
      <c r="G16">
        <v>133.13</v>
      </c>
      <c r="H16">
        <v>0.80649999999999999</v>
      </c>
      <c r="I16">
        <v>13.49</v>
      </c>
      <c r="J16">
        <v>3.15</v>
      </c>
      <c r="K16">
        <v>10.4</v>
      </c>
      <c r="L16">
        <v>0</v>
      </c>
      <c r="M16">
        <v>100</v>
      </c>
      <c r="N16">
        <v>6.5500000000000003E-2</v>
      </c>
      <c r="O16">
        <v>3.8699999999999998E-2</v>
      </c>
      <c r="P16">
        <v>1</v>
      </c>
      <c r="Q16">
        <v>0</v>
      </c>
      <c r="R16" t="s">
        <v>47</v>
      </c>
      <c r="S16" t="s">
        <v>36</v>
      </c>
      <c r="T16" t="s">
        <v>37</v>
      </c>
      <c r="U16" t="s">
        <v>38</v>
      </c>
    </row>
    <row r="17" spans="1:21" x14ac:dyDescent="0.3">
      <c r="A17" t="s">
        <v>43</v>
      </c>
      <c r="B17" t="s">
        <v>45</v>
      </c>
      <c r="C17" t="s">
        <v>41</v>
      </c>
      <c r="D17" t="s">
        <v>34</v>
      </c>
      <c r="E17">
        <v>97227</v>
      </c>
      <c r="F17">
        <v>79353</v>
      </c>
      <c r="G17">
        <v>133.01</v>
      </c>
      <c r="H17">
        <v>0.83709999999999996</v>
      </c>
      <c r="I17">
        <v>7.75</v>
      </c>
      <c r="J17">
        <v>2.6</v>
      </c>
      <c r="K17">
        <v>13.68</v>
      </c>
      <c r="L17">
        <v>0</v>
      </c>
      <c r="M17">
        <v>100</v>
      </c>
      <c r="N17">
        <v>6.3100000000000003E-2</v>
      </c>
      <c r="O17">
        <v>3.9199999999999999E-2</v>
      </c>
      <c r="P17">
        <v>1</v>
      </c>
      <c r="Q17">
        <v>0</v>
      </c>
      <c r="R17" t="s">
        <v>47</v>
      </c>
      <c r="S17" t="s">
        <v>36</v>
      </c>
      <c r="T17" t="s">
        <v>37</v>
      </c>
      <c r="U17" t="s">
        <v>38</v>
      </c>
    </row>
    <row r="18" spans="1:21" x14ac:dyDescent="0.3">
      <c r="A18" t="s">
        <v>59</v>
      </c>
      <c r="B18" t="s">
        <v>53</v>
      </c>
      <c r="C18" t="s">
        <v>41</v>
      </c>
      <c r="D18" t="s">
        <v>34</v>
      </c>
      <c r="E18">
        <v>97174</v>
      </c>
      <c r="F18">
        <v>81277</v>
      </c>
      <c r="G18">
        <v>132.93</v>
      </c>
      <c r="H18">
        <v>0.80900000000000005</v>
      </c>
      <c r="I18">
        <v>15.07</v>
      </c>
      <c r="J18">
        <v>3.15</v>
      </c>
      <c r="K18">
        <v>9.99</v>
      </c>
      <c r="L18">
        <v>0</v>
      </c>
      <c r="M18">
        <v>100</v>
      </c>
      <c r="N18">
        <v>6.3600000000000004E-2</v>
      </c>
      <c r="O18">
        <v>3.7499999999999999E-2</v>
      </c>
      <c r="P18">
        <v>1</v>
      </c>
      <c r="Q18">
        <v>0</v>
      </c>
      <c r="R18" t="s">
        <v>47</v>
      </c>
      <c r="S18" t="s">
        <v>36</v>
      </c>
      <c r="T18" t="s">
        <v>37</v>
      </c>
      <c r="U18" t="s">
        <v>38</v>
      </c>
    </row>
    <row r="19" spans="1:21" x14ac:dyDescent="0.3">
      <c r="A19" t="s">
        <v>59</v>
      </c>
      <c r="B19" t="s">
        <v>40</v>
      </c>
      <c r="C19" t="s">
        <v>41</v>
      </c>
      <c r="D19" t="s">
        <v>34</v>
      </c>
      <c r="E19">
        <v>97131</v>
      </c>
      <c r="F19">
        <v>82530</v>
      </c>
      <c r="G19">
        <v>132.87</v>
      </c>
      <c r="H19">
        <v>0.82150000000000001</v>
      </c>
      <c r="I19">
        <v>10.25</v>
      </c>
      <c r="J19">
        <v>3.97</v>
      </c>
      <c r="K19">
        <v>10.26</v>
      </c>
      <c r="L19">
        <v>0</v>
      </c>
      <c r="M19">
        <v>100</v>
      </c>
      <c r="N19">
        <v>6.3799999999999996E-2</v>
      </c>
      <c r="O19">
        <v>4.1700000000000001E-2</v>
      </c>
      <c r="P19">
        <v>1</v>
      </c>
      <c r="Q19">
        <v>0</v>
      </c>
      <c r="R19" t="s">
        <v>47</v>
      </c>
      <c r="S19" t="s">
        <v>36</v>
      </c>
      <c r="T19" t="s">
        <v>37</v>
      </c>
      <c r="U19" t="s">
        <v>38</v>
      </c>
    </row>
    <row r="20" spans="1:21" x14ac:dyDescent="0.3">
      <c r="A20" t="s">
        <v>59</v>
      </c>
      <c r="B20" t="s">
        <v>67</v>
      </c>
      <c r="C20" t="s">
        <v>50</v>
      </c>
      <c r="D20" t="s">
        <v>34</v>
      </c>
      <c r="E20">
        <v>96756</v>
      </c>
      <c r="F20">
        <v>83158</v>
      </c>
      <c r="G20">
        <v>132.36000000000001</v>
      </c>
      <c r="H20">
        <v>0.80020000000000002</v>
      </c>
      <c r="I20">
        <v>7.05</v>
      </c>
      <c r="J20">
        <v>3.15</v>
      </c>
      <c r="K20">
        <v>12.72</v>
      </c>
      <c r="L20">
        <v>0</v>
      </c>
      <c r="M20">
        <v>100</v>
      </c>
      <c r="N20">
        <v>6.0199999999999997E-2</v>
      </c>
      <c r="O20">
        <v>3.2500000000000001E-2</v>
      </c>
      <c r="P20">
        <v>1</v>
      </c>
      <c r="Q20">
        <v>0</v>
      </c>
      <c r="R20" t="s">
        <v>47</v>
      </c>
      <c r="S20" t="s">
        <v>36</v>
      </c>
      <c r="T20" t="s">
        <v>37</v>
      </c>
      <c r="U20" t="s">
        <v>38</v>
      </c>
    </row>
    <row r="21" spans="1:21" x14ac:dyDescent="0.3">
      <c r="A21" t="s">
        <v>43</v>
      </c>
      <c r="B21" t="s">
        <v>55</v>
      </c>
      <c r="C21" t="s">
        <v>56</v>
      </c>
      <c r="D21" t="s">
        <v>34</v>
      </c>
      <c r="E21">
        <v>96719</v>
      </c>
      <c r="F21">
        <v>81103</v>
      </c>
      <c r="G21">
        <v>132.31</v>
      </c>
      <c r="H21">
        <v>0.80459999999999998</v>
      </c>
      <c r="I21">
        <v>8.68</v>
      </c>
      <c r="J21">
        <v>3.97</v>
      </c>
      <c r="K21">
        <v>13</v>
      </c>
      <c r="L21">
        <v>0</v>
      </c>
      <c r="M21">
        <v>100</v>
      </c>
      <c r="N21">
        <v>6.4799999999999996E-2</v>
      </c>
      <c r="O21">
        <v>3.9899999999999998E-2</v>
      </c>
      <c r="P21">
        <v>1</v>
      </c>
      <c r="Q21">
        <v>0</v>
      </c>
      <c r="R21" t="s">
        <v>47</v>
      </c>
      <c r="S21" t="s">
        <v>36</v>
      </c>
      <c r="T21" t="s">
        <v>37</v>
      </c>
      <c r="U21" t="s">
        <v>38</v>
      </c>
    </row>
    <row r="22" spans="1:21" x14ac:dyDescent="0.3">
      <c r="A22" t="s">
        <v>59</v>
      </c>
      <c r="B22" t="s">
        <v>48</v>
      </c>
      <c r="C22" t="s">
        <v>33</v>
      </c>
      <c r="D22" t="s">
        <v>34</v>
      </c>
      <c r="E22">
        <v>96080</v>
      </c>
      <c r="F22">
        <v>78729</v>
      </c>
      <c r="G22">
        <v>131.44</v>
      </c>
      <c r="H22">
        <v>0.81469999999999998</v>
      </c>
      <c r="I22">
        <v>8.11</v>
      </c>
      <c r="J22">
        <v>3.56</v>
      </c>
      <c r="K22">
        <v>12.04</v>
      </c>
      <c r="L22">
        <v>0</v>
      </c>
      <c r="M22">
        <v>100</v>
      </c>
      <c r="N22">
        <v>6.2199999999999998E-2</v>
      </c>
      <c r="O22">
        <v>3.78E-2</v>
      </c>
      <c r="P22">
        <v>1</v>
      </c>
      <c r="Q22">
        <v>0</v>
      </c>
      <c r="R22" t="s">
        <v>47</v>
      </c>
      <c r="S22" t="s">
        <v>36</v>
      </c>
      <c r="T22" t="s">
        <v>37</v>
      </c>
      <c r="U22" t="s">
        <v>38</v>
      </c>
    </row>
    <row r="23" spans="1:21" x14ac:dyDescent="0.3">
      <c r="A23" t="s">
        <v>52</v>
      </c>
      <c r="B23" t="s">
        <v>40</v>
      </c>
      <c r="C23" t="s">
        <v>41</v>
      </c>
      <c r="D23" t="s">
        <v>54</v>
      </c>
      <c r="E23">
        <v>96049</v>
      </c>
      <c r="F23">
        <v>79767</v>
      </c>
      <c r="G23">
        <v>131.38999999999999</v>
      </c>
      <c r="H23">
        <v>0.79790000000000005</v>
      </c>
      <c r="I23">
        <v>12.26</v>
      </c>
      <c r="J23">
        <v>3.69</v>
      </c>
      <c r="K23">
        <v>12.45</v>
      </c>
      <c r="L23">
        <v>0</v>
      </c>
      <c r="M23">
        <v>100</v>
      </c>
      <c r="N23">
        <v>6.59E-2</v>
      </c>
      <c r="O23">
        <v>3.9E-2</v>
      </c>
      <c r="P23">
        <v>1</v>
      </c>
      <c r="Q23">
        <v>0</v>
      </c>
      <c r="R23" t="s">
        <v>47</v>
      </c>
      <c r="S23" t="s">
        <v>36</v>
      </c>
      <c r="T23" t="s">
        <v>37</v>
      </c>
      <c r="U23" t="s">
        <v>38</v>
      </c>
    </row>
    <row r="24" spans="1:21" x14ac:dyDescent="0.3">
      <c r="A24" t="s">
        <v>43</v>
      </c>
      <c r="B24" t="s">
        <v>32</v>
      </c>
      <c r="C24" t="s">
        <v>33</v>
      </c>
      <c r="D24" t="s">
        <v>34</v>
      </c>
      <c r="E24">
        <v>95606</v>
      </c>
      <c r="F24">
        <v>82839</v>
      </c>
      <c r="G24">
        <v>130.79</v>
      </c>
      <c r="H24">
        <v>0.79520000000000002</v>
      </c>
      <c r="I24">
        <v>7.59</v>
      </c>
      <c r="J24">
        <v>3.01</v>
      </c>
      <c r="K24">
        <v>10.26</v>
      </c>
      <c r="L24">
        <v>0</v>
      </c>
      <c r="M24">
        <v>100</v>
      </c>
      <c r="N24">
        <v>6.3500000000000001E-2</v>
      </c>
      <c r="O24">
        <v>4.1200000000000001E-2</v>
      </c>
      <c r="P24">
        <v>1</v>
      </c>
      <c r="Q24">
        <v>0</v>
      </c>
      <c r="R24" t="s">
        <v>47</v>
      </c>
      <c r="S24" t="s">
        <v>36</v>
      </c>
      <c r="T24" t="s">
        <v>37</v>
      </c>
      <c r="U24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4061EC-893F-4FA5-9C00-62685CED6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Reorder_behavior_by_ABC_importa</vt:lpstr>
      <vt:lpstr>Safety_stock_behavior_by_variab</vt:lpstr>
      <vt:lpstr>Lead-time_behavior_proxy_by_reg</vt:lpstr>
      <vt:lpstr>SQL_RSLT_Master</vt:lpstr>
      <vt:lpstr>SQL_Reorder_Behavior_Summary</vt:lpstr>
      <vt:lpstr>SQL_Safety_Stock_Behavior_Summa</vt:lpstr>
      <vt:lpstr>SQL_Leadtime_Behavior_Summary</vt:lpstr>
      <vt:lpstr>SQL_Category_RSLT_Summary</vt:lpstr>
      <vt:lpstr>SQL_RSLT_Review_Priority_Items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>Neelaksh lohani</cp:lastModifiedBy>
  <dcterms:created xsi:type="dcterms:W3CDTF">2015-06-05T18:17:20Z</dcterms:created>
  <dcterms:modified xsi:type="dcterms:W3CDTF">2026-03-25T13:31:15Z</dcterms:modified>
</cp:coreProperties>
</file>